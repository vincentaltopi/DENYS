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udicaellemoussier/Documents/"/>
    </mc:Choice>
  </mc:AlternateContent>
  <xr:revisionPtr revIDLastSave="0" documentId="8_{9A766EF5-9771-534B-98C2-4F255DA2E263}" xr6:coauthVersionLast="47" xr6:coauthVersionMax="47" xr10:uidLastSave="{00000000-0000-0000-0000-000000000000}"/>
  <bookViews>
    <workbookView xWindow="0" yWindow="740" windowWidth="29400" windowHeight="17040" tabRatio="834" activeTab="3" xr2:uid="{00000000-000D-0000-FFFF-FFFF00000000}"/>
  </bookViews>
  <sheets>
    <sheet name="Dépôt" sheetId="72" r:id="rId1"/>
    <sheet name="Coûts totaux" sheetId="2" r:id="rId2"/>
    <sheet name="macros" sheetId="6" state="hidden" r:id="rId3"/>
    <sheet name="AN-VR" sheetId="42" r:id="rId4"/>
  </sheets>
  <externalReferences>
    <externalReference r:id="rId5"/>
    <externalReference r:id="rId6"/>
    <externalReference r:id="rId7"/>
    <externalReference r:id="rId8"/>
  </externalReferences>
  <definedNames>
    <definedName name="_a112140">#REF!</definedName>
    <definedName name="_Fill" hidden="1">#REF!</definedName>
    <definedName name="_xlnm._FilterDatabase" localSheetId="3" hidden="1">'AN-VR'!$A$2:$K$2</definedName>
    <definedName name="_xlnm._FilterDatabase" localSheetId="1" hidden="1">'Coûts totaux'!$A$1:$Q$1</definedName>
    <definedName name="_xlnm._FilterDatabase" localSheetId="0" hidden="1">Dépôt!$A$2:$H$4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RRONDIS">#REF!</definedName>
    <definedName name="base">#REF!</definedName>
    <definedName name="_xlnm.Database">#REF!</definedName>
    <definedName name="BASISPLOEGENLIJST">[2]BASISPLOEGEN!$D$12:$W$26</definedName>
    <definedName name="CODE">#REF!</definedName>
    <definedName name="_xlnm.Criteria">#REF!</definedName>
    <definedName name="Criteria_MI">#REF!</definedName>
    <definedName name="Database_MI">#REF!</definedName>
    <definedName name="DI">#REF!</definedName>
    <definedName name="DO">#REF!</definedName>
    <definedName name="FUNCTIE">#REF!</definedName>
    <definedName name="GEWERKT.DAGEN">#REF!</definedName>
    <definedName name="HOOFD_BG">#REF!</definedName>
    <definedName name="HOOFD_CR">#REF!</definedName>
    <definedName name="HOOFD_DF">#REF!</definedName>
    <definedName name="HOOFD_GB">#REF!</definedName>
    <definedName name="HOOFD_HT">#REF!</definedName>
    <definedName name="HOOFD_IN">#REF!</definedName>
    <definedName name="KMAT">#REF!</definedName>
    <definedName name="KMO">#REF!</definedName>
    <definedName name="KMON">[3]Informations!$H$20</definedName>
    <definedName name="KOMP.">#REF!</definedName>
    <definedName name="KOSTGELD_BEDRAG">#REF!</definedName>
    <definedName name="MA">#REF!</definedName>
    <definedName name="NAAM">#REF!</definedName>
    <definedName name="nieuw">[4]bonnen!#REF!</definedName>
    <definedName name="ONB.VERLOF">#REF!</definedName>
    <definedName name="Platbordssss">#REF!</definedName>
    <definedName name="Print_Area_MI">#REF!</definedName>
    <definedName name="R.V.D">#REF!</definedName>
    <definedName name="SNIP">#REF!</definedName>
    <definedName name="tarieflijst">[2]TARIEVEN!$A$7:$R$363</definedName>
    <definedName name="TARIF">#REF!</definedName>
    <definedName name="TOT">#REF!</definedName>
    <definedName name="UITVOERDER">#REF!</definedName>
    <definedName name="VAN">#REF!</definedName>
    <definedName name="VOORL.">#REF!</definedName>
    <definedName name="VORST">#REF!</definedName>
    <definedName name="VR">#REF!</definedName>
    <definedName name="W.V.Z.">#REF!</definedName>
    <definedName name="we">#REF!</definedName>
    <definedName name="WEEKNR">#REF!</definedName>
    <definedName name="wel">#REF!</definedName>
    <definedName name="WERKNEMER.NR.">#REF!</definedName>
    <definedName name="WO">#REF!</definedName>
    <definedName name="Z_B56CB57F_60E4_4450_BB1D_705CEE26F4A1_.wvu.FilterData" localSheetId="0" hidden="1">Dépôt!#REF!</definedName>
    <definedName name="ZA">#REF!</definedName>
    <definedName name="ZIEK">#REF!</definedName>
    <definedName name="ZO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" i="72" l="1"/>
  <c r="H3" i="72" s="1"/>
</calcChain>
</file>

<file path=xl/sharedStrings.xml><?xml version="1.0" encoding="utf-8"?>
<sst xmlns="http://purl.oclc.org/ooxml/spreadsheetml/main" count="40" uniqueCount="37">
  <si>
    <t>Date</t>
  </si>
  <si>
    <t>Description</t>
  </si>
  <si>
    <t>Unité</t>
  </si>
  <si>
    <t>AN-VR</t>
  </si>
  <si>
    <t>Code de materiel</t>
  </si>
  <si>
    <t>Description de materiel</t>
  </si>
  <si>
    <t>Code cost</t>
  </si>
  <si>
    <t>Prix unité par jour</t>
  </si>
  <si>
    <t>Nombre de jours facturés</t>
  </si>
  <si>
    <t>Coût total</t>
  </si>
  <si>
    <t>Bon de commande</t>
  </si>
  <si>
    <t>Fournisseurs</t>
  </si>
  <si>
    <t>Total bon de commande</t>
  </si>
  <si>
    <t>Gestionnaire de site</t>
  </si>
  <si>
    <t>numéro de site</t>
  </si>
  <si>
    <t>Subnuméro</t>
  </si>
  <si>
    <t>Lieu de livraison</t>
  </si>
  <si>
    <t>Semaine</t>
  </si>
  <si>
    <t>code de coût</t>
  </si>
  <si>
    <t>Nombre</t>
  </si>
  <si>
    <t>Prix unitaire</t>
  </si>
  <si>
    <t>Prix</t>
  </si>
  <si>
    <t>Link</t>
  </si>
  <si>
    <t>Notes</t>
  </si>
  <si>
    <t>N° Intrastat</t>
  </si>
  <si>
    <t>Poids (kg)</t>
  </si>
  <si>
    <t>N° d'article</t>
  </si>
  <si>
    <t>Nom d'article</t>
  </si>
  <si>
    <t>Nombre de déplacem.</t>
  </si>
  <si>
    <t>Prix vente unit.</t>
  </si>
  <si>
    <t>Total</t>
  </si>
  <si>
    <t>N° de réception</t>
  </si>
  <si>
    <t>Periode</t>
  </si>
  <si>
    <t>Facturation consommables depot</t>
  </si>
  <si>
    <t>000 Bon De Commande SAS V01.xlsm</t>
  </si>
  <si>
    <t>$A$15</t>
  </si>
  <si>
    <t>date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</si>
</sst>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&quot;€&quot;* #,##0.00_);_(&quot;€&quot;* \(#,##0.00\);_(&quot;€&quot;* &quot;-&quot;??_);_(@_)"/>
    <numFmt numFmtId="166" formatCode="_-[$€]* #,##0.00_-;\-[$€]* #,##0.00_-;_-[$€]* &quot;-&quot;??_-;_-@_-"/>
    <numFmt numFmtId="167" formatCode="d/m;@"/>
    <numFmt numFmtId="168" formatCode="&quot;€&quot;\ #,##0.00"/>
    <numFmt numFmtId="169" formatCode="_-* #,##0.00_-;_-* #,##0.00\-;_-* &quot;-&quot;??_-;_-@_-"/>
    <numFmt numFmtId="170" formatCode="_-* #,##0.00\ _€_-;\-* #,##0.00\ _€_-;_-* &quot;-&quot;??\ _€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ms Rmn"/>
    </font>
    <font>
      <b/>
      <sz val="10"/>
      <color indexed="8"/>
      <name val="Arial"/>
      <family val="2"/>
    </font>
    <font>
      <sz val="8"/>
      <color indexed="8"/>
      <name val="Courier New"/>
      <family val="2"/>
    </font>
    <font>
      <sz val="10"/>
      <color theme="1"/>
      <name val="Arial"/>
      <family val="2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sz val="8"/>
      <name val="Arial Rounded MT Bold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Gill Alt One MT Light"/>
      <family val="2"/>
    </font>
    <font>
      <b/>
      <sz val="11"/>
      <color theme="1"/>
      <name val="Gill Alt One MT Light"/>
      <family val="2"/>
    </font>
    <font>
      <b/>
      <sz val="11"/>
      <name val="Gill Alt One MT Light"/>
      <family val="2"/>
    </font>
    <font>
      <sz val="11"/>
      <name val="Gill Alt One MT Light"/>
      <family val="2"/>
    </font>
    <font>
      <b/>
      <sz val="11"/>
      <color rgb="FFFF0000"/>
      <name val="Gill Alt One MT Light"/>
      <family val="2"/>
    </font>
    <font>
      <b/>
      <sz val="20"/>
      <color theme="1"/>
      <name val="Gill Alt One MT Light"/>
      <family val="2"/>
    </font>
    <font>
      <sz val="15"/>
      <color theme="1"/>
      <name val="Gill Alt One MT Light"/>
      <family val="2"/>
    </font>
    <font>
      <sz val="11"/>
      <color rgb="FF9C6500"/>
      <name val="Gill Alt One MT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start/>
      <end/>
      <top/>
      <bottom/>
      <diagonal/>
    </border>
    <border>
      <start/>
      <end/>
      <top/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hair">
        <color auto="1"/>
      </start>
      <end/>
      <top/>
      <bottom/>
      <diagonal/>
    </border>
    <border>
      <start/>
      <end style="hair">
        <color auto="1"/>
      </end>
      <top/>
      <bottom/>
      <diagonal/>
    </border>
    <border>
      <start style="hair">
        <color auto="1"/>
      </start>
      <end style="hair">
        <color auto="1"/>
      </end>
      <top/>
      <bottom/>
      <diagonal/>
    </border>
    <border>
      <start style="hair">
        <color auto="1"/>
      </start>
      <end/>
      <top style="hair">
        <color auto="1"/>
      </top>
      <bottom style="medium">
        <color auto="1"/>
      </bottom>
      <diagonal/>
    </border>
    <border>
      <start/>
      <end style="hair">
        <color auto="1"/>
      </end>
      <top style="hair">
        <color auto="1"/>
      </top>
      <bottom style="medium">
        <color auto="1"/>
      </bottom>
      <diagonal/>
    </border>
    <border>
      <start style="hair">
        <color auto="1"/>
      </start>
      <end style="hair">
        <color auto="1"/>
      </end>
      <top style="hair">
        <color auto="1"/>
      </top>
      <bottom style="medium">
        <color auto="1"/>
      </bottom>
      <diagonal/>
    </border>
    <border>
      <start/>
      <end/>
      <top style="hair">
        <color auto="1"/>
      </top>
      <bottom style="medium">
        <color auto="1"/>
      </bottom>
      <diagonal/>
    </border>
    <border>
      <start style="hair">
        <color auto="1"/>
      </start>
      <end style="hair">
        <color auto="1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hair">
        <color indexed="64"/>
      </top>
      <bottom style="medium">
        <color indexed="64"/>
      </bottom>
      <diagonal/>
    </border>
  </borders>
  <cellStyleXfs count="76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0" fontId="4" fillId="0" borderId="0"/>
    <xf numFmtId="0" fontId="2" fillId="0" borderId="0"/>
    <xf numFmtId="0" fontId="2" fillId="0" borderId="0"/>
    <xf numFmtId="166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/>
    <xf numFmtId="0" fontId="7" fillId="0" borderId="0" applyNumberForma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1" fillId="0" borderId="0" applyNumberFormat="0" applyFont="0" applyBorder="0" applyAlignment="0"/>
    <xf numFmtId="9" fontId="10" fillId="0" borderId="0" applyFont="0" applyFill="0" applyBorder="0" applyAlignment="0" applyProtection="0"/>
    <xf numFmtId="0" fontId="8" fillId="0" borderId="0"/>
    <xf numFmtId="169" fontId="2" fillId="0" borderId="0" applyFont="0" applyFill="0" applyBorder="0" applyAlignment="0" applyProtection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1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3" fillId="0" borderId="0"/>
    <xf numFmtId="0" fontId="1" fillId="0" borderId="0"/>
    <xf numFmtId="0" fontId="14" fillId="3" borderId="0" applyNumberFormat="0" applyBorder="0" applyAlignment="0" applyProtection="0"/>
    <xf numFmtId="170" fontId="2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56">
    <xf numFmtId="0" fontId="0" fillId="0" borderId="0" xfId="0"/>
    <xf numFmtId="0" fontId="17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164" fontId="17" fillId="0" borderId="0" xfId="52" applyFont="1" applyFill="1" applyBorder="1" applyAlignment="1" applyProtection="1">
      <alignment horizontal="center" vertical="center"/>
      <protection locked="0"/>
    </xf>
    <xf numFmtId="49" fontId="17" fillId="0" borderId="0" xfId="0" applyNumberFormat="1" applyFont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164" fontId="18" fillId="0" borderId="3" xfId="52" applyFont="1" applyFill="1" applyBorder="1" applyAlignment="1" applyProtection="1">
      <alignment horizontal="center" vertical="center"/>
      <protection locked="0"/>
    </xf>
    <xf numFmtId="49" fontId="18" fillId="0" borderId="3" xfId="0" applyNumberFormat="1" applyFont="1" applyBorder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2" fillId="0" borderId="0" xfId="0" applyNumberFormat="1" applyFont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14" fontId="18" fillId="5" borderId="3" xfId="0" applyNumberFormat="1" applyFont="1" applyFill="1" applyBorder="1" applyAlignment="1">
      <alignment horizontal="center" vertical="center"/>
    </xf>
    <xf numFmtId="164" fontId="18" fillId="5" borderId="3" xfId="52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64" fontId="17" fillId="0" borderId="0" xfId="52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4" fontId="17" fillId="0" borderId="0" xfId="52" applyFont="1" applyFill="1" applyAlignment="1">
      <alignment horizontal="center" vertical="center"/>
    </xf>
    <xf numFmtId="0" fontId="24" fillId="0" borderId="8" xfId="25" applyFont="1" applyFill="1" applyBorder="1" applyAlignment="1">
      <alignment horizontal="center" vertical="center" wrapText="1"/>
    </xf>
    <xf numFmtId="0" fontId="24" fillId="0" borderId="9" xfId="25" applyFont="1" applyFill="1" applyBorder="1" applyAlignment="1">
      <alignment horizontal="center" vertical="center"/>
    </xf>
    <xf numFmtId="164" fontId="24" fillId="0" borderId="7" xfId="52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167" fontId="19" fillId="0" borderId="11" xfId="0" applyNumberFormat="1" applyFont="1" applyBorder="1" applyAlignment="1">
      <alignment horizontal="center" vertical="center" wrapText="1"/>
    </xf>
    <xf numFmtId="164" fontId="19" fillId="0" borderId="11" xfId="52" applyFont="1" applyBorder="1" applyAlignment="1">
      <alignment horizontal="center" vertical="center" wrapText="1"/>
    </xf>
    <xf numFmtId="167" fontId="17" fillId="0" borderId="0" xfId="0" applyNumberFormat="1" applyFont="1" applyAlignment="1">
      <alignment vertical="center"/>
    </xf>
    <xf numFmtId="49" fontId="20" fillId="0" borderId="6" xfId="0" applyNumberFormat="1" applyFont="1" applyBorder="1" applyAlignment="1" applyProtection="1">
      <alignment vertical="center"/>
      <protection locked="0"/>
    </xf>
    <xf numFmtId="0" fontId="20" fillId="0" borderId="6" xfId="0" applyFont="1" applyBorder="1" applyAlignment="1" applyProtection="1">
      <alignment vertical="center"/>
      <protection locked="0"/>
    </xf>
    <xf numFmtId="164" fontId="20" fillId="0" borderId="6" xfId="52" applyFont="1" applyFill="1" applyBorder="1" applyAlignment="1" applyProtection="1">
      <alignment vertical="center"/>
      <protection locked="0"/>
    </xf>
    <xf numFmtId="0" fontId="20" fillId="0" borderId="5" xfId="0" applyFont="1" applyBorder="1" applyAlignment="1">
      <alignment vertical="center"/>
    </xf>
    <xf numFmtId="168" fontId="20" fillId="0" borderId="4" xfId="0" applyNumberFormat="1" applyFont="1" applyBorder="1" applyAlignment="1">
      <alignment vertical="center"/>
    </xf>
    <xf numFmtId="49" fontId="20" fillId="0" borderId="0" xfId="0" applyNumberFormat="1" applyFont="1" applyAlignment="1" applyProtection="1">
      <alignment vertical="center" wrapText="1"/>
      <protection locked="0"/>
    </xf>
    <xf numFmtId="0" fontId="17" fillId="0" borderId="6" xfId="0" applyFont="1" applyBorder="1" applyAlignment="1">
      <alignment vertical="center"/>
    </xf>
    <xf numFmtId="164" fontId="17" fillId="0" borderId="6" xfId="52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68" fontId="17" fillId="0" borderId="4" xfId="0" applyNumberFormat="1" applyFont="1" applyBorder="1" applyAlignment="1">
      <alignment vertical="center"/>
    </xf>
    <xf numFmtId="0" fontId="17" fillId="0" borderId="3" xfId="0" applyFont="1" applyBorder="1" applyAlignment="1" applyProtection="1">
      <alignment horizontal="left" vertical="center"/>
      <protection locked="0"/>
    </xf>
    <xf numFmtId="164" fontId="17" fillId="0" borderId="3" xfId="0" applyNumberFormat="1" applyFont="1" applyBorder="1" applyAlignment="1" applyProtection="1">
      <alignment horizontal="center" vertical="center"/>
      <protection locked="0"/>
    </xf>
    <xf numFmtId="164" fontId="17" fillId="0" borderId="3" xfId="52" applyFont="1" applyFill="1" applyBorder="1" applyAlignment="1" applyProtection="1">
      <alignment horizontal="center" vertical="center"/>
      <protection locked="0"/>
    </xf>
    <xf numFmtId="14" fontId="17" fillId="0" borderId="3" xfId="0" applyNumberFormat="1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1" fontId="17" fillId="0" borderId="0" xfId="0" applyNumberFormat="1" applyFont="1" applyAlignment="1" applyProtection="1">
      <alignment horizontal="center" vertical="center"/>
      <protection locked="0"/>
    </xf>
    <xf numFmtId="164" fontId="17" fillId="0" borderId="0" xfId="0" applyNumberFormat="1" applyFont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0" fontId="20" fillId="2" borderId="0" xfId="0" applyFont="1" applyFill="1" applyAlignment="1">
      <alignment vertical="center"/>
    </xf>
    <xf numFmtId="17" fontId="20" fillId="0" borderId="0" xfId="0" applyNumberFormat="1" applyFont="1" applyAlignment="1" applyProtection="1">
      <alignment vertical="center"/>
      <protection locked="0"/>
    </xf>
    <xf numFmtId="165" fontId="20" fillId="0" borderId="3" xfId="1" applyFont="1" applyFill="1" applyBorder="1" applyAlignment="1" applyProtection="1">
      <alignment horizontal="center" vertical="center"/>
      <protection locked="0"/>
    </xf>
    <xf numFmtId="165" fontId="20" fillId="0" borderId="0" xfId="1" applyFont="1" applyFill="1" applyBorder="1" applyAlignment="1" applyProtection="1">
      <alignment horizontal="center" vertical="center"/>
      <protection locked="0"/>
    </xf>
    <xf numFmtId="167" fontId="19" fillId="2" borderId="2" xfId="0" applyNumberFormat="1" applyFont="1" applyFill="1" applyBorder="1" applyAlignment="1">
      <alignment horizontal="center" vertical="center"/>
    </xf>
    <xf numFmtId="0" fontId="24" fillId="0" borderId="12" xfId="25" applyFont="1" applyFill="1" applyBorder="1" applyAlignment="1">
      <alignment horizontal="center" vertical="center" wrapText="1"/>
    </xf>
    <xf numFmtId="0" fontId="24" fillId="0" borderId="10" xfId="25" applyFont="1" applyFill="1" applyBorder="1" applyAlignment="1">
      <alignment horizontal="center" vertical="center" wrapText="1"/>
    </xf>
    <xf numFmtId="0" fontId="24" fillId="0" borderId="8" xfId="25" applyFont="1" applyFill="1" applyBorder="1" applyAlignment="1">
      <alignment horizontal="center" vertical="center" wrapText="1"/>
    </xf>
  </cellXfs>
  <cellStyles count="76">
    <cellStyle name="Comma" xfId="52" xr:uid="{00000000-0005-0000-0000-000000000000}"/>
    <cellStyle name="Comma 10" xfId="40" xr:uid="{00000000-0005-0000-0000-000001000000}"/>
    <cellStyle name="Comma 10 2" xfId="67" xr:uid="{03B6578A-ED20-4628-BACC-917837B343C8}"/>
    <cellStyle name="Comma 11" xfId="41" xr:uid="{00000000-0005-0000-0000-000002000000}"/>
    <cellStyle name="Comma 11 2" xfId="68" xr:uid="{72F8DDB4-FFE5-4F35-817B-8E1ABE798EAB}"/>
    <cellStyle name="Comma 12" xfId="45" xr:uid="{2E5331F3-FDE7-4E3D-8BD5-A9BF66624703}"/>
    <cellStyle name="Comma 13" xfId="74" xr:uid="{155135EE-500F-4B85-83FB-DFD9D51955AA}"/>
    <cellStyle name="Comma 14" xfId="69" xr:uid="{966D2D20-A683-46E2-A498-DC16495814A7}"/>
    <cellStyle name="Comma 2" xfId="9" xr:uid="{00000000-0005-0000-0000-000003000000}"/>
    <cellStyle name="Comma 2 2" xfId="10" xr:uid="{00000000-0005-0000-0000-000004000000}"/>
    <cellStyle name="Comma 2 2 2" xfId="57" xr:uid="{241D6275-D083-4973-9CF4-D12AC2F2A2B8}"/>
    <cellStyle name="Comma 2 3" xfId="28" xr:uid="{00000000-0005-0000-0000-000005000000}"/>
    <cellStyle name="Comma 2 4" xfId="56" xr:uid="{7291E437-B945-4A53-BDCF-804B0C3D7F37}"/>
    <cellStyle name="Comma 3" xfId="11" xr:uid="{00000000-0005-0000-0000-000006000000}"/>
    <cellStyle name="Comma 3 2" xfId="58" xr:uid="{03818D9F-771C-4B30-BBE5-6B37AD7CB181}"/>
    <cellStyle name="Comma 4" xfId="12" xr:uid="{00000000-0005-0000-0000-000007000000}"/>
    <cellStyle name="Comma 4 2" xfId="59" xr:uid="{B1DC6BCF-D098-42B4-B2F8-AB8C1BC18F74}"/>
    <cellStyle name="Comma 5" xfId="13" xr:uid="{00000000-0005-0000-0000-000008000000}"/>
    <cellStyle name="Comma 5 2" xfId="60" xr:uid="{94CF8B0D-F045-4BF2-AF6A-C2EFDBC87682}"/>
    <cellStyle name="Comma 6" xfId="27" xr:uid="{00000000-0005-0000-0000-000009000000}"/>
    <cellStyle name="Comma 7" xfId="37" xr:uid="{00000000-0005-0000-0000-00000A000000}"/>
    <cellStyle name="Comma 7 2" xfId="64" xr:uid="{D9AC88A1-6253-4FB9-81B1-8E3CD1B862DF}"/>
    <cellStyle name="Comma 8" xfId="38" xr:uid="{00000000-0005-0000-0000-00000B000000}"/>
    <cellStyle name="Comma 8 2" xfId="65" xr:uid="{9654A957-48AB-4FC3-8049-7AF280512CC8}"/>
    <cellStyle name="Comma 9" xfId="39" xr:uid="{00000000-0005-0000-0000-00000C000000}"/>
    <cellStyle name="Comma 9 2" xfId="66" xr:uid="{64B4577C-8CED-4551-A36F-C12A3AF9B418}"/>
    <cellStyle name="Currency 2" xfId="22" xr:uid="{00000000-0005-0000-0000-00000D000000}"/>
    <cellStyle name="Currency 2 2" xfId="24" xr:uid="{00000000-0005-0000-0000-00000E000000}"/>
    <cellStyle name="Currency 2 2 2" xfId="62" xr:uid="{ED9131D6-E3F3-40AD-B1A5-F4ACD0F32638}"/>
    <cellStyle name="Currency 2 3" xfId="61" xr:uid="{D97AEC0E-78C3-4CC6-AEC9-45367B5B275B}"/>
    <cellStyle name="Euro" xfId="8" xr:uid="{00000000-0005-0000-0000-00000F000000}"/>
    <cellStyle name="footer" xfId="21" xr:uid="{00000000-0005-0000-0000-000010000000}"/>
    <cellStyle name="Geneva" xfId="29" xr:uid="{00000000-0005-0000-0000-000011000000}"/>
    <cellStyle name="header" xfId="19" xr:uid="{00000000-0005-0000-0000-000012000000}"/>
    <cellStyle name="Komma 2" xfId="32" xr:uid="{00000000-0005-0000-0000-000014000000}"/>
    <cellStyle name="Milliers 2" xfId="49" xr:uid="{F10FAEB4-928A-408A-BB0F-CE2F1F7A6A9C}"/>
    <cellStyle name="Milliers 2 2" xfId="70" xr:uid="{5AE43724-4178-4B7F-ABD2-BF9208875B22}"/>
    <cellStyle name="Milliers 3" xfId="47" xr:uid="{2BCB9B33-EE8E-4784-A5AC-F1A20F42D225}"/>
    <cellStyle name="Milliers 4" xfId="54" xr:uid="{CF5F58A7-42D9-4A97-BC21-376837DECF70}"/>
    <cellStyle name="Milliers 4 2" xfId="73" xr:uid="{8035B91D-1E99-4F9D-828C-A858520C038E}"/>
    <cellStyle name="Milliers 5" xfId="72" xr:uid="{E79DFDA9-3BE9-4293-8FCD-4359B59BCD0A}"/>
    <cellStyle name="Milliers 6" xfId="75" xr:uid="{9181C6C7-A747-4D77-AE55-7C45538A57A7}"/>
    <cellStyle name="Monétaire" xfId="1" builtinId="4"/>
    <cellStyle name="Monétaire 2" xfId="51" xr:uid="{F2AEEA14-F240-4427-8682-7C9D184EE969}"/>
    <cellStyle name="Monétaire 2 2" xfId="71" xr:uid="{3D7ABF78-3C0D-413C-B2CE-A3AD555B57DA}"/>
    <cellStyle name="Monétaire 3" xfId="55" xr:uid="{92E7BED5-5E32-49CF-8503-BDE92E9FF1AC}"/>
    <cellStyle name="Neutre" xfId="25" builtinId="28"/>
    <cellStyle name="Neutre 2" xfId="44" xr:uid="{00000000-0005-0000-0000-00001A000000}"/>
    <cellStyle name="Normal" xfId="0" builtinId="0"/>
    <cellStyle name="Normal 11" xfId="43" xr:uid="{00000000-0005-0000-0000-00001C000000}"/>
    <cellStyle name="Normal 2" xfId="2" xr:uid="{00000000-0005-0000-0000-00001D000000}"/>
    <cellStyle name="Normal 2 2" xfId="14" xr:uid="{00000000-0005-0000-0000-00001E000000}"/>
    <cellStyle name="Normal 2 3" xfId="20" xr:uid="{00000000-0005-0000-0000-00001F000000}"/>
    <cellStyle name="Normal 3" xfId="4" xr:uid="{00000000-0005-0000-0000-000020000000}"/>
    <cellStyle name="Normal 3 2" xfId="6" xr:uid="{00000000-0005-0000-0000-000021000000}"/>
    <cellStyle name="Normal 3 3" xfId="15" xr:uid="{00000000-0005-0000-0000-000022000000}"/>
    <cellStyle name="Normal 4" xfId="5" xr:uid="{00000000-0005-0000-0000-000023000000}"/>
    <cellStyle name="Normal 4 2" xfId="7" xr:uid="{00000000-0005-0000-0000-000024000000}"/>
    <cellStyle name="Normal 4 3" xfId="18" xr:uid="{00000000-0005-0000-0000-000025000000}"/>
    <cellStyle name="Normal 4 4" xfId="46" xr:uid="{E8D33A9D-DF17-42E3-A1A8-A346A696F676}"/>
    <cellStyle name="Normal 5" xfId="33" xr:uid="{00000000-0005-0000-0000-000026000000}"/>
    <cellStyle name="Normal 5 2" xfId="53" xr:uid="{4EE15EF4-23EB-4B37-B92A-A6A7E9465F3D}"/>
    <cellStyle name="Normal 6" xfId="34" xr:uid="{00000000-0005-0000-0000-000027000000}"/>
    <cellStyle name="Normal 7" xfId="26" xr:uid="{00000000-0005-0000-0000-000028000000}"/>
    <cellStyle name="Normal 8" xfId="36" xr:uid="{00000000-0005-0000-0000-000029000000}"/>
    <cellStyle name="Normal 8 2" xfId="63" xr:uid="{19D261AB-73BF-4EC3-8F81-E33B7E6D4AB7}"/>
    <cellStyle name="Normal 9" xfId="42" xr:uid="{00000000-0005-0000-0000-00002A000000}"/>
    <cellStyle name="Percent 2" xfId="30" xr:uid="{00000000-0005-0000-0000-00002B000000}"/>
    <cellStyle name="Percent 3" xfId="35" xr:uid="{00000000-0005-0000-0000-00002C000000}"/>
    <cellStyle name="Pourcentage 2" xfId="48" xr:uid="{6457BC2E-5578-4A6E-B5E3-E76DA35F770F}"/>
    <cellStyle name="Pourcentage 3" xfId="50" xr:uid="{F959121C-3528-404E-95E8-940B04B7C31A}"/>
    <cellStyle name="Standaard 2" xfId="3" xr:uid="{00000000-0005-0000-0000-00002F000000}"/>
    <cellStyle name="Standaard 2 2" xfId="16" xr:uid="{00000000-0005-0000-0000-000030000000}"/>
    <cellStyle name="Standaard 2 2 2" xfId="23" xr:uid="{00000000-0005-0000-0000-000031000000}"/>
    <cellStyle name="Standaard 2 3" xfId="31" xr:uid="{00000000-0005-0000-0000-000032000000}"/>
    <cellStyle name="Standaard 3" xfId="17" xr:uid="{00000000-0005-0000-0000-00003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A964C"/>
      <color rgb="FFFFFF66"/>
      <color rgb="FFFFE8AF"/>
      <color rgb="FFFFEDA3"/>
      <color rgb="FFFF714F"/>
      <color rgb="FFEF11E4"/>
      <color rgb="FFFF7453"/>
      <color rgb="FFFFE577"/>
      <color rgb="FFEDF7F9"/>
      <color rgb="FFF0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externalLink" Target="externalLinks/externalLink4.xml"/><Relationship Id="rId13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externalLink" Target="externalLinks/externalLink3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externalLink" Target="externalLinks/externalLink2.xml"/><Relationship Id="rId11" Type="http://purl.oclc.org/ooxml/officeDocument/relationships/sharedStrings" Target="sharedStrings.xml"/><Relationship Id="rId5" Type="http://purl.oclc.org/ooxml/officeDocument/relationships/externalLink" Target="externalLinks/externalLink1.xml"/><Relationship Id="rId15" Type="http://purl.oclc.org/ooxml/officeDocument/relationships/customXml" Target="../customXml/item3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Relationship Id="rId14" Type="http://purl.oclc.org/ooxml/officeDocument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purl.oclc.org/ooxml/officeDocument/relationships/externalLinkPath" Target="file:///C:/Users/PDEL/AppData/Local/Microsoft/Windows/INetCache/Content.Outlook/X29553NN/Budget%20SPMR-B3%20-%20R0_280324.xlsx" TargetMode="External"/><Relationship Id="rId1" Type="http://purl.oclc.org/ooxml/officeDocument/relationships/externalLinkPath" Target="file:///C:/Users/PDEL/AppData/Local/Microsoft/Windows/INetCache/Content.Outlook/X29553NN/Budget%20SPMR-B3%20-%20R0_2803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048%20-%20N4G%20-%20Gazelle%20-%20Budget%20rev%20B%20KBO%202011-08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T4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3308084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xxl21:alternateUrls>
      <xxl21:absoluteUrl r:id="rId2"/>
    </xxl21:alternateUrls>
    <sheetNames>
      <sheetName val="BUDGET SPMR R0"/>
      <sheetName val="Liste CODE ADISSEO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 ALGEMEEN"/>
      <sheetName val="TARIEVEN"/>
      <sheetName val="BUDGETBEREKENING"/>
      <sheetName val="BASISPLOEGEN"/>
      <sheetName val="MEERWERKEN"/>
      <sheetName val="PRODUKTIESTAAT"/>
      <sheetName val="BUDGET-CODE"/>
    </sheetNames>
    <sheetDataSet>
      <sheetData sheetId="0" refreshError="1"/>
      <sheetData sheetId="1">
        <row r="7">
          <cell r="A7" t="str">
            <v>Code</v>
          </cell>
          <cell r="B7" t="str">
            <v>Omschrijving</v>
          </cell>
          <cell r="C7" t="str">
            <v>Type</v>
          </cell>
          <cell r="D7" t="str">
            <v>Eenh.</v>
          </cell>
          <cell r="E7" t="str">
            <v>Tarief</v>
          </cell>
          <cell r="F7" t="str">
            <v>Tarief</v>
          </cell>
          <cell r="G7" t="str">
            <v>Tarief</v>
          </cell>
          <cell r="H7" t="str">
            <v>Tarief</v>
          </cell>
          <cell r="I7" t="str">
            <v>Tarief</v>
          </cell>
          <cell r="J7" t="str">
            <v>Tarief</v>
          </cell>
          <cell r="K7" t="str">
            <v>Tarief</v>
          </cell>
          <cell r="L7" t="str">
            <v>Tarief</v>
          </cell>
          <cell r="M7" t="str">
            <v>Tarief</v>
          </cell>
          <cell r="N7" t="str">
            <v>Tarief</v>
          </cell>
          <cell r="O7" t="str">
            <v>Tarief</v>
          </cell>
          <cell r="P7" t="str">
            <v>Tarief</v>
          </cell>
          <cell r="Q7" t="str">
            <v>Regie</v>
          </cell>
          <cell r="R7" t="str">
            <v>Gasolie</v>
          </cell>
        </row>
        <row r="8">
          <cell r="A8" t="str">
            <v>Leveringen</v>
          </cell>
        </row>
        <row r="9">
          <cell r="A9" t="str">
            <v>BEKL_PP</v>
          </cell>
          <cell r="B9" t="str">
            <v>Coating PP</v>
          </cell>
          <cell r="C9" t="str">
            <v>L</v>
          </cell>
          <cell r="D9" t="str">
            <v>ST</v>
          </cell>
          <cell r="H9">
            <v>1150</v>
          </cell>
        </row>
        <row r="10">
          <cell r="A10" t="str">
            <v>BEKLP</v>
          </cell>
          <cell r="B10" t="str">
            <v>Coating Products</v>
          </cell>
          <cell r="C10" t="str">
            <v>L</v>
          </cell>
          <cell r="D10" t="str">
            <v>ST</v>
          </cell>
          <cell r="H10">
            <v>43.75</v>
          </cell>
        </row>
        <row r="11">
          <cell r="A11" t="str">
            <v>BEKLPintelli</v>
          </cell>
          <cell r="B11" t="str">
            <v>Coating materials Intellicoat</v>
          </cell>
          <cell r="C11" t="str">
            <v>L</v>
          </cell>
          <cell r="D11" t="str">
            <v>ST</v>
          </cell>
          <cell r="H11">
            <v>89.59</v>
          </cell>
        </row>
        <row r="12">
          <cell r="A12" t="str">
            <v>Beklebochten</v>
          </cell>
          <cell r="B12" t="str">
            <v>Coating hot bends</v>
          </cell>
          <cell r="C12" t="str">
            <v>L</v>
          </cell>
          <cell r="D12" t="str">
            <v>FF</v>
          </cell>
          <cell r="H12">
            <v>69000</v>
          </cell>
        </row>
        <row r="13">
          <cell r="A13" t="str">
            <v>BETONC30/37</v>
          </cell>
          <cell r="B13" t="str">
            <v>Concrete C30/37</v>
          </cell>
          <cell r="C13" t="str">
            <v>L</v>
          </cell>
          <cell r="D13" t="str">
            <v>M3</v>
          </cell>
          <cell r="H13">
            <v>61.973399999999998</v>
          </cell>
        </row>
        <row r="14">
          <cell r="A14" t="str">
            <v>ITAL</v>
          </cell>
          <cell r="B14" t="str">
            <v>Cursus Italiaans voor beginners</v>
          </cell>
          <cell r="C14" t="str">
            <v>L</v>
          </cell>
          <cell r="D14" t="str">
            <v>FF</v>
          </cell>
          <cell r="H14">
            <v>10000</v>
          </cell>
        </row>
        <row r="15">
          <cell r="A15" t="str">
            <v>FOC</v>
          </cell>
          <cell r="B15" t="str">
            <v>Fibre Optic Conduit</v>
          </cell>
          <cell r="C15" t="str">
            <v>L</v>
          </cell>
          <cell r="D15" t="str">
            <v>M</v>
          </cell>
          <cell r="H15">
            <v>2</v>
          </cell>
        </row>
        <row r="16">
          <cell r="A16" t="str">
            <v>FOC2</v>
          </cell>
          <cell r="B16" t="str">
            <v>Fibre Optic Cable</v>
          </cell>
          <cell r="C16" t="str">
            <v>L</v>
          </cell>
          <cell r="D16" t="str">
            <v>M</v>
          </cell>
          <cell r="H16">
            <v>1.25</v>
          </cell>
        </row>
        <row r="17">
          <cell r="A17" t="str">
            <v>FOC3</v>
          </cell>
          <cell r="B17" t="str">
            <v>Fibre Optic Divers tools</v>
          </cell>
          <cell r="C17" t="str">
            <v>L</v>
          </cell>
          <cell r="D17" t="str">
            <v>FF</v>
          </cell>
          <cell r="H17">
            <v>10000</v>
          </cell>
        </row>
        <row r="18">
          <cell r="A18" t="str">
            <v>raci</v>
          </cell>
          <cell r="B18" t="str">
            <v>Raci-spacer</v>
          </cell>
          <cell r="C18" t="str">
            <v>L</v>
          </cell>
          <cell r="D18" t="str">
            <v>FF</v>
          </cell>
          <cell r="H18">
            <v>83000</v>
          </cell>
        </row>
        <row r="19">
          <cell r="A19" t="str">
            <v>WNET</v>
          </cell>
          <cell r="B19" t="str">
            <v>Warning Fence</v>
          </cell>
          <cell r="C19" t="str">
            <v>L</v>
          </cell>
          <cell r="D19" t="str">
            <v>FF</v>
          </cell>
          <cell r="H19">
            <v>0.53012048192771088</v>
          </cell>
        </row>
        <row r="20">
          <cell r="A20" t="str">
            <v>WTAPE</v>
          </cell>
          <cell r="B20" t="str">
            <v>Warning Tape</v>
          </cell>
          <cell r="C20" t="str">
            <v>L</v>
          </cell>
          <cell r="D20" t="str">
            <v>FF</v>
          </cell>
          <cell r="H20">
            <v>0.2</v>
          </cell>
        </row>
        <row r="21">
          <cell r="A21" t="str">
            <v>Sadelbag</v>
          </cell>
          <cell r="B21" t="str">
            <v>Sadelbags for extra weights</v>
          </cell>
          <cell r="C21" t="str">
            <v>L</v>
          </cell>
          <cell r="D21" t="str">
            <v>ST</v>
          </cell>
          <cell r="H21">
            <v>274</v>
          </cell>
        </row>
        <row r="22">
          <cell r="A22" t="str">
            <v>Sandbag</v>
          </cell>
          <cell r="B22" t="str">
            <v>Sandbags</v>
          </cell>
          <cell r="C22" t="str">
            <v>L</v>
          </cell>
          <cell r="D22" t="str">
            <v>ST</v>
          </cell>
          <cell r="H22">
            <v>1</v>
          </cell>
        </row>
        <row r="23">
          <cell r="A23" t="str">
            <v>Sand</v>
          </cell>
          <cell r="B23" t="str">
            <v>Sand or stone to fill up the bags</v>
          </cell>
          <cell r="C23" t="str">
            <v>L</v>
          </cell>
          <cell r="D23" t="str">
            <v>T</v>
          </cell>
          <cell r="H23">
            <v>13</v>
          </cell>
        </row>
        <row r="24">
          <cell r="A24" t="str">
            <v>blaaskamer</v>
          </cell>
          <cell r="B24" t="str">
            <v>Cable Chambers</v>
          </cell>
          <cell r="C24" t="str">
            <v>L</v>
          </cell>
          <cell r="D24" t="str">
            <v>ST</v>
          </cell>
          <cell r="H24">
            <v>1281</v>
          </cell>
        </row>
        <row r="25">
          <cell r="A25" t="str">
            <v>beschoeiing</v>
          </cell>
          <cell r="B25" t="str">
            <v>Rental blinds</v>
          </cell>
          <cell r="C25" t="str">
            <v>L</v>
          </cell>
          <cell r="D25" t="str">
            <v>ST</v>
          </cell>
          <cell r="H25">
            <v>280000</v>
          </cell>
        </row>
        <row r="26">
          <cell r="A26" t="str">
            <v>schot</v>
          </cell>
          <cell r="B26" t="str">
            <v>Filling up Concrete pipes</v>
          </cell>
          <cell r="C26" t="str">
            <v>L</v>
          </cell>
          <cell r="D26" t="str">
            <v>ST</v>
          </cell>
          <cell r="H26">
            <v>1450</v>
          </cell>
        </row>
        <row r="27">
          <cell r="A27" t="str">
            <v>GAS</v>
          </cell>
          <cell r="B27" t="str">
            <v>Gasses</v>
          </cell>
          <cell r="C27" t="str">
            <v>L</v>
          </cell>
          <cell r="D27" t="str">
            <v>FF</v>
          </cell>
          <cell r="H27">
            <v>5000</v>
          </cell>
        </row>
        <row r="28">
          <cell r="A28" t="str">
            <v>LEVER</v>
          </cell>
          <cell r="B28" t="str">
            <v>Surplus small deliveries</v>
          </cell>
          <cell r="C28" t="str">
            <v>L</v>
          </cell>
          <cell r="D28" t="str">
            <v>FF</v>
          </cell>
          <cell r="H28">
            <v>50000</v>
          </cell>
        </row>
        <row r="29">
          <cell r="A29" t="str">
            <v>H2Obeton</v>
          </cell>
          <cell r="B29" t="str">
            <v>Under water concrete</v>
          </cell>
          <cell r="C29" t="str">
            <v>L</v>
          </cell>
          <cell r="D29" t="str">
            <v>FF</v>
          </cell>
          <cell r="H29">
            <v>40000</v>
          </cell>
        </row>
        <row r="30">
          <cell r="A30" t="str">
            <v>veilig</v>
          </cell>
          <cell r="B30" t="str">
            <v>Safety</v>
          </cell>
          <cell r="C30" t="str">
            <v>L</v>
          </cell>
          <cell r="D30" t="str">
            <v>FF</v>
          </cell>
          <cell r="H30">
            <v>20000</v>
          </cell>
        </row>
        <row r="31">
          <cell r="A31" t="str">
            <v>blok</v>
          </cell>
          <cell r="B31" t="str">
            <v>Wooden skids</v>
          </cell>
          <cell r="C31" t="str">
            <v>L</v>
          </cell>
          <cell r="D31" t="str">
            <v>ST</v>
          </cell>
          <cell r="H31">
            <v>2</v>
          </cell>
        </row>
        <row r="32">
          <cell r="A32" t="str">
            <v>Spie</v>
          </cell>
          <cell r="B32" t="str">
            <v>Wooden wedges</v>
          </cell>
          <cell r="C32" t="str">
            <v>L</v>
          </cell>
          <cell r="D32" t="str">
            <v>ST</v>
          </cell>
          <cell r="H32">
            <v>0.1</v>
          </cell>
        </row>
        <row r="33">
          <cell r="A33" t="str">
            <v>Socea</v>
          </cell>
          <cell r="B33" t="str">
            <v>Delivery of concrete boringpipes</v>
          </cell>
          <cell r="C33" t="str">
            <v>L</v>
          </cell>
          <cell r="D33" t="str">
            <v>M</v>
          </cell>
          <cell r="H33">
            <v>485</v>
          </cell>
        </row>
        <row r="34">
          <cell r="A34" t="str">
            <v>WB</v>
          </cell>
          <cell r="B34" t="str">
            <v>Hot Bends</v>
          </cell>
          <cell r="C34" t="str">
            <v>L</v>
          </cell>
          <cell r="D34" t="str">
            <v>ST</v>
          </cell>
          <cell r="H34">
            <v>7500</v>
          </cell>
        </row>
        <row r="35">
          <cell r="A35" t="str">
            <v>KLMA</v>
          </cell>
          <cell r="B35" t="str">
            <v>Small material (8,5 % total of wages)</v>
          </cell>
          <cell r="C35" t="str">
            <v>L</v>
          </cell>
          <cell r="D35" t="str">
            <v>st</v>
          </cell>
          <cell r="H35">
            <v>1801346.4350000001</v>
          </cell>
          <cell r="L35" t="str">
            <v>NVT</v>
          </cell>
          <cell r="P35" t="str">
            <v>NVT</v>
          </cell>
        </row>
        <row r="36">
          <cell r="A36" t="str">
            <v>MAZOUT</v>
          </cell>
          <cell r="B36" t="str">
            <v>Fuel</v>
          </cell>
          <cell r="C36" t="str">
            <v>L</v>
          </cell>
          <cell r="D36" t="str">
            <v>L</v>
          </cell>
          <cell r="H36">
            <v>1.1000000000000001</v>
          </cell>
        </row>
        <row r="37">
          <cell r="A37" t="str">
            <v>PE</v>
          </cell>
          <cell r="B37" t="str">
            <v>PE-gains in borings</v>
          </cell>
          <cell r="C37" t="str">
            <v>L</v>
          </cell>
          <cell r="D37" t="str">
            <v>m</v>
          </cell>
          <cell r="H37">
            <v>7</v>
          </cell>
        </row>
        <row r="38">
          <cell r="A38" t="str">
            <v>OLIVINE</v>
          </cell>
          <cell r="B38" t="str">
            <v>Olivinesand</v>
          </cell>
          <cell r="C38" t="str">
            <v>L</v>
          </cell>
          <cell r="D38" t="str">
            <v>T</v>
          </cell>
          <cell r="H38">
            <v>190</v>
          </cell>
        </row>
        <row r="39">
          <cell r="A39" t="str">
            <v>GRID</v>
          </cell>
          <cell r="B39" t="str">
            <v>GRID for autimatic gridblasting</v>
          </cell>
          <cell r="C39" t="str">
            <v>L</v>
          </cell>
          <cell r="D39" t="str">
            <v>T</v>
          </cell>
          <cell r="H39">
            <v>230</v>
          </cell>
        </row>
        <row r="40">
          <cell r="A40" t="str">
            <v>VS</v>
          </cell>
          <cell r="B40" t="str">
            <v>Fixed price</v>
          </cell>
          <cell r="C40" t="str">
            <v>L</v>
          </cell>
          <cell r="D40" t="str">
            <v>FF</v>
          </cell>
          <cell r="H40">
            <v>1700</v>
          </cell>
        </row>
        <row r="41">
          <cell r="A41" t="str">
            <v>Bidim</v>
          </cell>
          <cell r="B41" t="str">
            <v>Bidim (5m width)</v>
          </cell>
          <cell r="C41" t="str">
            <v>L</v>
          </cell>
          <cell r="D41" t="str">
            <v>m</v>
          </cell>
          <cell r="H41">
            <v>11</v>
          </cell>
        </row>
        <row r="42">
          <cell r="A42" t="str">
            <v>DAL</v>
          </cell>
          <cell r="B42" t="str">
            <v>Concrete slab</v>
          </cell>
          <cell r="C42" t="str">
            <v>L</v>
          </cell>
          <cell r="D42" t="str">
            <v>ST</v>
          </cell>
          <cell r="H42">
            <v>25</v>
          </cell>
        </row>
        <row r="43">
          <cell r="A43" t="str">
            <v>Onderaanneming</v>
          </cell>
        </row>
        <row r="44">
          <cell r="A44" t="str">
            <v>Sign</v>
          </cell>
          <cell r="B44" t="str">
            <v>Signalisation works in progress</v>
          </cell>
          <cell r="C44" t="str">
            <v>O</v>
          </cell>
          <cell r="D44" t="str">
            <v>WK</v>
          </cell>
          <cell r="F44">
            <v>30</v>
          </cell>
          <cell r="H44">
            <v>30</v>
          </cell>
        </row>
        <row r="45">
          <cell r="A45" t="str">
            <v>sign kruising</v>
          </cell>
          <cell r="B45" t="str">
            <v>Signalisation for open cut crossings</v>
          </cell>
          <cell r="C45" t="str">
            <v>O</v>
          </cell>
          <cell r="D45" t="str">
            <v>FF</v>
          </cell>
          <cell r="H45">
            <v>600</v>
          </cell>
        </row>
        <row r="46">
          <cell r="A46" t="str">
            <v>station</v>
          </cell>
          <cell r="B46" t="str">
            <v>Stationworks</v>
          </cell>
          <cell r="C46" t="str">
            <v>O</v>
          </cell>
          <cell r="D46" t="str">
            <v>FF</v>
          </cell>
          <cell r="H46">
            <v>5800000</v>
          </cell>
        </row>
        <row r="47">
          <cell r="A47" t="str">
            <v>Blazen</v>
          </cell>
          <cell r="B47" t="str">
            <v>Blowing FOC</v>
          </cell>
          <cell r="C47" t="str">
            <v>O</v>
          </cell>
          <cell r="D47" t="str">
            <v>FF</v>
          </cell>
          <cell r="H47">
            <v>148000</v>
          </cell>
        </row>
        <row r="48">
          <cell r="A48" t="str">
            <v>LassenFOC</v>
          </cell>
          <cell r="B48" t="str">
            <v>Welding FOC</v>
          </cell>
          <cell r="C48" t="str">
            <v>O</v>
          </cell>
          <cell r="D48" t="str">
            <v>st</v>
          </cell>
          <cell r="H48">
            <v>1600</v>
          </cell>
        </row>
        <row r="49">
          <cell r="A49" t="str">
            <v>AfrasNL</v>
          </cell>
          <cell r="B49" t="str">
            <v>Fencing</v>
          </cell>
          <cell r="C49" t="str">
            <v>O</v>
          </cell>
          <cell r="D49" t="str">
            <v>FF</v>
          </cell>
          <cell r="H49">
            <v>35000</v>
          </cell>
        </row>
        <row r="50">
          <cell r="A50" t="str">
            <v>GrofClean</v>
          </cell>
          <cell r="B50" t="str">
            <v>Clean-up</v>
          </cell>
          <cell r="C50" t="str">
            <v>O</v>
          </cell>
          <cell r="D50" t="str">
            <v>m</v>
          </cell>
          <cell r="H50">
            <v>17</v>
          </cell>
        </row>
        <row r="51">
          <cell r="A51" t="str">
            <v>AfrasDU</v>
          </cell>
          <cell r="B51" t="str">
            <v>Afrasteren Duitsland</v>
          </cell>
          <cell r="C51" t="str">
            <v>O</v>
          </cell>
          <cell r="D51" t="str">
            <v>FF</v>
          </cell>
          <cell r="H51">
            <v>15000</v>
          </cell>
        </row>
        <row r="52">
          <cell r="A52" t="str">
            <v>Cleanextra</v>
          </cell>
          <cell r="B52" t="str">
            <v>Extra Clean-up (fine)</v>
          </cell>
          <cell r="C52" t="str">
            <v>O</v>
          </cell>
          <cell r="D52" t="str">
            <v>FF</v>
          </cell>
          <cell r="H52">
            <v>15000</v>
          </cell>
        </row>
        <row r="53">
          <cell r="A53" t="str">
            <v>zaaien</v>
          </cell>
          <cell r="B53" t="str">
            <v>sowing</v>
          </cell>
          <cell r="C53" t="str">
            <v>O</v>
          </cell>
          <cell r="D53" t="str">
            <v>FF</v>
          </cell>
          <cell r="H53">
            <v>108900</v>
          </cell>
        </row>
        <row r="54">
          <cell r="A54" t="str">
            <v>bemaling</v>
          </cell>
          <cell r="B54" t="str">
            <v>Lump-sum dewatering</v>
          </cell>
          <cell r="C54" t="str">
            <v>O</v>
          </cell>
          <cell r="D54" t="str">
            <v>FF</v>
          </cell>
          <cell r="H54">
            <v>500000</v>
          </cell>
        </row>
        <row r="55">
          <cell r="A55" t="str">
            <v>bemaalextra</v>
          </cell>
          <cell r="B55" t="str">
            <v>extra supplies dewatering</v>
          </cell>
          <cell r="C55" t="str">
            <v>O</v>
          </cell>
          <cell r="D55" t="str">
            <v>FF</v>
          </cell>
          <cell r="H55">
            <v>50000</v>
          </cell>
        </row>
        <row r="56">
          <cell r="A56" t="str">
            <v>DAMWAND</v>
          </cell>
          <cell r="B56" t="str">
            <v>placing/deplacing/rental</v>
          </cell>
          <cell r="C56" t="str">
            <v>O</v>
          </cell>
          <cell r="D56" t="str">
            <v>M2</v>
          </cell>
          <cell r="H56">
            <v>80</v>
          </cell>
        </row>
        <row r="57">
          <cell r="A57" t="str">
            <v>NDO_US</v>
          </cell>
          <cell r="B57" t="str">
            <v>NDO_ROTOSCAN</v>
          </cell>
          <cell r="C57" t="str">
            <v>O</v>
          </cell>
          <cell r="D57" t="str">
            <v>D</v>
          </cell>
          <cell r="H57">
            <v>2650</v>
          </cell>
        </row>
        <row r="58">
          <cell r="A58" t="str">
            <v>NDO_RX</v>
          </cell>
          <cell r="B58" t="str">
            <v>NDO_RX</v>
          </cell>
          <cell r="C58" t="str">
            <v>O</v>
          </cell>
          <cell r="D58" t="str">
            <v>D</v>
          </cell>
          <cell r="H58">
            <v>1000</v>
          </cell>
        </row>
        <row r="59">
          <cell r="A59" t="str">
            <v>NDO</v>
          </cell>
          <cell r="B59" t="str">
            <v>NDO-forfait</v>
          </cell>
          <cell r="C59" t="str">
            <v>O</v>
          </cell>
          <cell r="D59" t="str">
            <v>FF</v>
          </cell>
          <cell r="H59">
            <v>700000</v>
          </cell>
        </row>
        <row r="60">
          <cell r="A60" t="str">
            <v>NDOextra</v>
          </cell>
          <cell r="B60" t="str">
            <v>NDO extra</v>
          </cell>
          <cell r="C60" t="str">
            <v>O</v>
          </cell>
          <cell r="D60" t="str">
            <v>FF</v>
          </cell>
          <cell r="H60">
            <v>50000</v>
          </cell>
        </row>
        <row r="61">
          <cell r="A61" t="str">
            <v>DDO</v>
          </cell>
          <cell r="B61" t="str">
            <v>Destrcutive Testing</v>
          </cell>
          <cell r="C61" t="str">
            <v>O</v>
          </cell>
          <cell r="D61" t="str">
            <v>D</v>
          </cell>
          <cell r="H61">
            <v>1000</v>
          </cell>
        </row>
        <row r="62">
          <cell r="A62" t="str">
            <v>Schildinstal</v>
          </cell>
          <cell r="B62" t="str">
            <v>Installation Microtrunnels</v>
          </cell>
          <cell r="C62" t="str">
            <v>O</v>
          </cell>
          <cell r="D62" t="str">
            <v>ST</v>
          </cell>
          <cell r="H62">
            <v>52000</v>
          </cell>
        </row>
        <row r="63">
          <cell r="A63" t="str">
            <v>Schildboor</v>
          </cell>
          <cell r="B63" t="str">
            <v>Microtunneling</v>
          </cell>
          <cell r="C63" t="str">
            <v>O</v>
          </cell>
          <cell r="D63" t="str">
            <v>M</v>
          </cell>
          <cell r="H63">
            <v>750000</v>
          </cell>
        </row>
        <row r="64">
          <cell r="A64" t="str">
            <v>Schildbuis</v>
          </cell>
          <cell r="B64" t="str">
            <v>Tubes</v>
          </cell>
          <cell r="C64" t="str">
            <v>O</v>
          </cell>
          <cell r="D64" t="str">
            <v>M</v>
          </cell>
          <cell r="H64">
            <v>650</v>
          </cell>
        </row>
        <row r="65">
          <cell r="A65" t="str">
            <v>OFT</v>
          </cell>
          <cell r="B65" t="str">
            <v>Open Front Borings</v>
          </cell>
          <cell r="C65" t="str">
            <v>O</v>
          </cell>
          <cell r="D65" t="str">
            <v>FF</v>
          </cell>
          <cell r="H65">
            <v>1550</v>
          </cell>
        </row>
        <row r="66">
          <cell r="A66" t="str">
            <v>K-Boringen</v>
          </cell>
          <cell r="B66" t="str">
            <v>Lumpsum K-Boringen</v>
          </cell>
          <cell r="C66" t="str">
            <v>O</v>
          </cell>
          <cell r="D66" t="str">
            <v>FF</v>
          </cell>
          <cell r="H66">
            <v>355000</v>
          </cell>
        </row>
        <row r="67">
          <cell r="A67" t="str">
            <v>Hoogstraat</v>
          </cell>
          <cell r="B67" t="str">
            <v>Hoogstraat open sleuf</v>
          </cell>
          <cell r="C67" t="str">
            <v>O</v>
          </cell>
          <cell r="D67" t="str">
            <v>FF</v>
          </cell>
          <cell r="H67">
            <v>62000</v>
          </cell>
        </row>
        <row r="68">
          <cell r="A68" t="str">
            <v>boorextra</v>
          </cell>
          <cell r="B68" t="str">
            <v>7,5% on top of subcontractor for extra works</v>
          </cell>
          <cell r="C68" t="str">
            <v>O</v>
          </cell>
          <cell r="D68" t="str">
            <v>FF</v>
          </cell>
          <cell r="H68">
            <v>26741.25</v>
          </cell>
        </row>
        <row r="69">
          <cell r="A69" t="str">
            <v>Klop</v>
          </cell>
          <cell r="B69" t="str">
            <v>Ramming</v>
          </cell>
          <cell r="C69" t="str">
            <v>O</v>
          </cell>
          <cell r="D69" t="str">
            <v>M</v>
          </cell>
          <cell r="H69">
            <v>290</v>
          </cell>
        </row>
        <row r="70">
          <cell r="A70" t="str">
            <v>Avegaar</v>
          </cell>
          <cell r="B70" t="str">
            <v>Hako avegaarboringen</v>
          </cell>
          <cell r="C70" t="str">
            <v>O</v>
          </cell>
          <cell r="D70" t="str">
            <v>FF</v>
          </cell>
          <cell r="H70">
            <v>2589400</v>
          </cell>
        </row>
        <row r="71">
          <cell r="A71" t="str">
            <v>spooropwijk</v>
          </cell>
          <cell r="B71" t="str">
            <v>Spoorboring Opwijk (als avegaar!!!)</v>
          </cell>
          <cell r="C71" t="str">
            <v>O</v>
          </cell>
          <cell r="D71" t="str">
            <v>FF</v>
          </cell>
          <cell r="H71">
            <v>128000</v>
          </cell>
        </row>
        <row r="72">
          <cell r="A72" t="str">
            <v>wijgmaalbroek</v>
          </cell>
          <cell r="B72" t="str">
            <v>Boring Wijgmaalbroek</v>
          </cell>
          <cell r="C72" t="str">
            <v>O</v>
          </cell>
          <cell r="D72" t="str">
            <v>FF</v>
          </cell>
          <cell r="H72">
            <v>133000</v>
          </cell>
        </row>
        <row r="73">
          <cell r="A73" t="str">
            <v>Avegaar_extra</v>
          </cell>
          <cell r="B73" t="str">
            <v>Extra Avegaar</v>
          </cell>
          <cell r="C73" t="str">
            <v>O</v>
          </cell>
          <cell r="D73" t="str">
            <v>FF</v>
          </cell>
          <cell r="H73">
            <v>90000</v>
          </cell>
        </row>
        <row r="74">
          <cell r="A74" t="str">
            <v>persput</v>
          </cell>
          <cell r="B74" t="str">
            <v>Hako persput</v>
          </cell>
          <cell r="C74" t="str">
            <v>O</v>
          </cell>
          <cell r="D74" t="str">
            <v>FF</v>
          </cell>
          <cell r="H74">
            <v>491800</v>
          </cell>
        </row>
        <row r="75">
          <cell r="A75" t="str">
            <v>ontvangstput</v>
          </cell>
          <cell r="B75" t="str">
            <v>Hako ontvangstput</v>
          </cell>
          <cell r="C75" t="str">
            <v>O</v>
          </cell>
          <cell r="D75" t="str">
            <v>FF</v>
          </cell>
          <cell r="H75">
            <v>234850</v>
          </cell>
        </row>
        <row r="76">
          <cell r="A76" t="str">
            <v>Testen1</v>
          </cell>
          <cell r="B76" t="str">
            <v>Testing in several sections</v>
          </cell>
          <cell r="C76" t="str">
            <v>O</v>
          </cell>
          <cell r="D76" t="str">
            <v>FF</v>
          </cell>
          <cell r="H76">
            <v>3353000</v>
          </cell>
        </row>
        <row r="77">
          <cell r="A77" t="str">
            <v>Testen2</v>
          </cell>
          <cell r="B77" t="str">
            <v>Drying in several sections</v>
          </cell>
          <cell r="C77" t="str">
            <v>O</v>
          </cell>
          <cell r="D77" t="str">
            <v>FF</v>
          </cell>
          <cell r="H77">
            <v>150000</v>
          </cell>
        </row>
        <row r="78">
          <cell r="A78" t="str">
            <v>Testen3</v>
          </cell>
          <cell r="B78" t="str">
            <v>Testing HDD</v>
          </cell>
          <cell r="C78" t="str">
            <v>O</v>
          </cell>
          <cell r="D78" t="str">
            <v>FF</v>
          </cell>
          <cell r="H78">
            <v>10560</v>
          </cell>
        </row>
        <row r="79">
          <cell r="A79" t="str">
            <v>NDO_LS</v>
          </cell>
          <cell r="B79" t="str">
            <v>NDO stukken</v>
          </cell>
          <cell r="C79" t="str">
            <v>O</v>
          </cell>
          <cell r="D79" t="str">
            <v>ST</v>
          </cell>
          <cell r="H79">
            <v>40000</v>
          </cell>
        </row>
        <row r="80">
          <cell r="A80" t="str">
            <v>zandhopen</v>
          </cell>
          <cell r="B80" t="str">
            <v>Making sandwalls</v>
          </cell>
          <cell r="C80" t="str">
            <v>O</v>
          </cell>
          <cell r="D80" t="str">
            <v>M</v>
          </cell>
          <cell r="H80">
            <v>0.7</v>
          </cell>
        </row>
        <row r="81">
          <cell r="A81" t="str">
            <v>drainage</v>
          </cell>
          <cell r="B81" t="str">
            <v>Drainage (pre and post construction)</v>
          </cell>
          <cell r="C81" t="str">
            <v>O</v>
          </cell>
          <cell r="D81" t="str">
            <v>FF</v>
          </cell>
          <cell r="H81">
            <v>300000</v>
          </cell>
        </row>
        <row r="82">
          <cell r="A82" t="str">
            <v>Teel</v>
          </cell>
          <cell r="B82" t="str">
            <v>Stripping Topsoil</v>
          </cell>
          <cell r="C82" t="str">
            <v>O</v>
          </cell>
          <cell r="D82" t="str">
            <v>m</v>
          </cell>
          <cell r="H82">
            <v>7.2</v>
          </cell>
        </row>
        <row r="83">
          <cell r="A83" t="str">
            <v>ontbos</v>
          </cell>
          <cell r="B83" t="str">
            <v>Deforesting</v>
          </cell>
          <cell r="C83" t="str">
            <v>O</v>
          </cell>
          <cell r="D83" t="str">
            <v>FF</v>
          </cell>
          <cell r="H83">
            <v>198000</v>
          </cell>
        </row>
        <row r="84">
          <cell r="A84" t="str">
            <v>parking Rots</v>
          </cell>
          <cell r="B84" t="str">
            <v>Parking Rotselaar</v>
          </cell>
          <cell r="C84" t="str">
            <v>O</v>
          </cell>
          <cell r="D84" t="str">
            <v>FF</v>
          </cell>
          <cell r="H84">
            <v>50000</v>
          </cell>
        </row>
        <row r="85">
          <cell r="A85" t="str">
            <v>Uitrij</v>
          </cell>
          <cell r="B85" t="str">
            <v>Stringing Felbermayr</v>
          </cell>
          <cell r="C85" t="str">
            <v>O</v>
          </cell>
          <cell r="D85" t="str">
            <v>M</v>
          </cell>
          <cell r="H85">
            <v>10.5</v>
          </cell>
        </row>
        <row r="86">
          <cell r="A86" t="str">
            <v>BEMESTEN</v>
          </cell>
          <cell r="B86" t="str">
            <v>Fertilizing</v>
          </cell>
          <cell r="C86" t="str">
            <v>O</v>
          </cell>
          <cell r="D86" t="str">
            <v>ton</v>
          </cell>
          <cell r="H86">
            <v>66.55</v>
          </cell>
        </row>
        <row r="87">
          <cell r="A87" t="str">
            <v>BET</v>
          </cell>
          <cell r="B87" t="str">
            <v>thatching ditches</v>
          </cell>
          <cell r="C87" t="str">
            <v>O</v>
          </cell>
          <cell r="D87" t="str">
            <v>M</v>
          </cell>
          <cell r="H87">
            <v>200</v>
          </cell>
        </row>
        <row r="88">
          <cell r="A88" t="str">
            <v>LZAND</v>
          </cell>
          <cell r="B88" t="str">
            <v>Deliveries stonestabilization of ROW</v>
          </cell>
          <cell r="C88" t="str">
            <v>O</v>
          </cell>
          <cell r="D88" t="str">
            <v>ton</v>
          </cell>
          <cell r="H88">
            <v>7</v>
          </cell>
        </row>
        <row r="89">
          <cell r="A89" t="str">
            <v>Vzand</v>
          </cell>
          <cell r="B89" t="str">
            <v>Installing stonestabilization</v>
          </cell>
          <cell r="C89" t="str">
            <v>O</v>
          </cell>
          <cell r="D89" t="str">
            <v>ton</v>
          </cell>
          <cell r="H89">
            <v>1.72</v>
          </cell>
        </row>
        <row r="90">
          <cell r="A90" t="str">
            <v>bgrond</v>
          </cell>
          <cell r="B90" t="str">
            <v>B-ground</v>
          </cell>
          <cell r="C90" t="str">
            <v>O</v>
          </cell>
          <cell r="D90" t="str">
            <v>D</v>
          </cell>
          <cell r="H90">
            <v>1.1000000000000001</v>
          </cell>
        </row>
        <row r="91">
          <cell r="A91" t="str">
            <v>Seri</v>
          </cell>
          <cell r="B91" t="str">
            <v>Lumpsum Serimax</v>
          </cell>
          <cell r="C91" t="str">
            <v>O</v>
          </cell>
          <cell r="D91" t="str">
            <v>D</v>
          </cell>
          <cell r="H91">
            <v>1524500</v>
          </cell>
        </row>
        <row r="92">
          <cell r="A92" t="str">
            <v>huurserimax</v>
          </cell>
          <cell r="B92" t="str">
            <v>One year rental</v>
          </cell>
          <cell r="C92" t="str">
            <v>O</v>
          </cell>
          <cell r="D92" t="str">
            <v>FF</v>
          </cell>
          <cell r="H92">
            <v>243000</v>
          </cell>
        </row>
        <row r="93">
          <cell r="A93" t="str">
            <v>chefsou</v>
          </cell>
          <cell r="B93" t="str">
            <v>Chef soudeur Serimax</v>
          </cell>
          <cell r="C93" t="str">
            <v>O</v>
          </cell>
          <cell r="D93" t="str">
            <v>D</v>
          </cell>
          <cell r="H93">
            <v>815</v>
          </cell>
        </row>
        <row r="94">
          <cell r="A94" t="str">
            <v>chefmain</v>
          </cell>
          <cell r="B94" t="str">
            <v>Chef de maintenance</v>
          </cell>
          <cell r="C94" t="str">
            <v>O</v>
          </cell>
          <cell r="D94" t="str">
            <v>D</v>
          </cell>
          <cell r="H94">
            <v>763</v>
          </cell>
        </row>
        <row r="95">
          <cell r="A95" t="str">
            <v>soudeur STT</v>
          </cell>
          <cell r="B95" t="str">
            <v>welders STT</v>
          </cell>
          <cell r="C95" t="str">
            <v>O</v>
          </cell>
          <cell r="D95" t="str">
            <v>D</v>
          </cell>
          <cell r="H95">
            <v>763</v>
          </cell>
        </row>
        <row r="96">
          <cell r="A96" t="str">
            <v>Techicien</v>
          </cell>
          <cell r="B96" t="str">
            <v>Technician</v>
          </cell>
          <cell r="C96" t="str">
            <v>O</v>
          </cell>
          <cell r="D96" t="str">
            <v>D</v>
          </cell>
          <cell r="H96">
            <v>742</v>
          </cell>
        </row>
        <row r="97">
          <cell r="A97" t="str">
            <v>qualif</v>
          </cell>
          <cell r="B97" t="str">
            <v>Qualification/training welders</v>
          </cell>
          <cell r="C97" t="str">
            <v>O</v>
          </cell>
          <cell r="D97" t="str">
            <v>D</v>
          </cell>
          <cell r="H97">
            <v>3110</v>
          </cell>
        </row>
        <row r="98">
          <cell r="A98" t="str">
            <v>serimax</v>
          </cell>
          <cell r="B98" t="str">
            <v>lumpsum serimax</v>
          </cell>
          <cell r="C98" t="str">
            <v>O</v>
          </cell>
          <cell r="D98" t="str">
            <v>D</v>
          </cell>
          <cell r="H98">
            <v>1180000</v>
          </cell>
        </row>
        <row r="99">
          <cell r="A99" t="str">
            <v>ONPERS</v>
          </cell>
          <cell r="B99" t="str">
            <v>Maintenance Offices</v>
          </cell>
          <cell r="C99" t="str">
            <v>O</v>
          </cell>
          <cell r="D99" t="str">
            <v>D</v>
          </cell>
          <cell r="H99">
            <v>223</v>
          </cell>
        </row>
        <row r="100">
          <cell r="A100" t="str">
            <v>bewalas</v>
          </cell>
          <cell r="B100" t="str">
            <v>Security Front End Welding</v>
          </cell>
          <cell r="C100" t="str">
            <v>O</v>
          </cell>
          <cell r="D100" t="str">
            <v>D</v>
          </cell>
          <cell r="H100">
            <v>480</v>
          </cell>
        </row>
        <row r="101">
          <cell r="A101" t="str">
            <v>bewawerf</v>
          </cell>
          <cell r="B101" t="str">
            <v>Security Site</v>
          </cell>
          <cell r="C101" t="str">
            <v>O</v>
          </cell>
          <cell r="D101" t="str">
            <v>D</v>
          </cell>
          <cell r="H101">
            <v>520</v>
          </cell>
        </row>
        <row r="102">
          <cell r="A102" t="str">
            <v>pipeyard</v>
          </cell>
          <cell r="B102" t="str">
            <v>Pipeyard</v>
          </cell>
          <cell r="C102" t="str">
            <v>O</v>
          </cell>
          <cell r="D102" t="str">
            <v>D</v>
          </cell>
          <cell r="H102">
            <v>534644.5</v>
          </cell>
        </row>
        <row r="103">
          <cell r="A103" t="str">
            <v>yard sec</v>
          </cell>
          <cell r="B103" t="str">
            <v>Pipeyard security</v>
          </cell>
          <cell r="C103" t="str">
            <v>O</v>
          </cell>
          <cell r="D103" t="str">
            <v>M</v>
          </cell>
          <cell r="H103">
            <v>3000</v>
          </cell>
        </row>
        <row r="104">
          <cell r="A104" t="str">
            <v>yard main</v>
          </cell>
          <cell r="B104" t="str">
            <v>Pipeyard Maintenance</v>
          </cell>
          <cell r="C104" t="str">
            <v>O</v>
          </cell>
          <cell r="D104" t="str">
            <v>M</v>
          </cell>
          <cell r="H104">
            <v>2500</v>
          </cell>
        </row>
        <row r="105">
          <cell r="A105" t="str">
            <v>CP</v>
          </cell>
          <cell r="B105" t="str">
            <v>Cathodic Protection</v>
          </cell>
          <cell r="C105" t="str">
            <v>O</v>
          </cell>
          <cell r="D105" t="str">
            <v>FF</v>
          </cell>
          <cell r="H105">
            <v>822500</v>
          </cell>
        </row>
        <row r="106">
          <cell r="A106" t="str">
            <v>Nacap</v>
          </cell>
          <cell r="B106" t="str">
            <v>HDD Nacap</v>
          </cell>
          <cell r="C106" t="str">
            <v>O</v>
          </cell>
          <cell r="D106" t="str">
            <v>FF</v>
          </cell>
          <cell r="H106">
            <v>3300000</v>
          </cell>
        </row>
        <row r="107">
          <cell r="A107" t="str">
            <v>Diensten</v>
          </cell>
        </row>
        <row r="108">
          <cell r="A108" t="str">
            <v>H2OAANSL</v>
          </cell>
          <cell r="B108" t="str">
            <v>Water Connection</v>
          </cell>
          <cell r="C108" t="str">
            <v>D</v>
          </cell>
          <cell r="D108" t="str">
            <v>ST</v>
          </cell>
          <cell r="H108">
            <v>800</v>
          </cell>
        </row>
        <row r="109">
          <cell r="A109" t="str">
            <v>H2OVERBR</v>
          </cell>
          <cell r="B109" t="str">
            <v>Water use</v>
          </cell>
          <cell r="C109" t="str">
            <v>D</v>
          </cell>
          <cell r="D109" t="str">
            <v>MND</v>
          </cell>
          <cell r="H109">
            <v>400</v>
          </cell>
        </row>
        <row r="110">
          <cell r="A110" t="str">
            <v>GSM</v>
          </cell>
          <cell r="B110" t="str">
            <v>Mobile phones</v>
          </cell>
          <cell r="C110" t="str">
            <v>D</v>
          </cell>
          <cell r="D110" t="str">
            <v>MND</v>
          </cell>
          <cell r="H110">
            <v>150</v>
          </cell>
        </row>
        <row r="111">
          <cell r="A111" t="str">
            <v>HUURFAX</v>
          </cell>
          <cell r="B111" t="str">
            <v>Faxmachines</v>
          </cell>
          <cell r="C111" t="str">
            <v>D</v>
          </cell>
          <cell r="D111" t="str">
            <v>MND</v>
          </cell>
          <cell r="H111">
            <v>250</v>
          </cell>
        </row>
        <row r="112">
          <cell r="A112" t="str">
            <v>FOTOC</v>
          </cell>
          <cell r="B112" t="str">
            <v>Copier</v>
          </cell>
          <cell r="C112" t="str">
            <v>D</v>
          </cell>
          <cell r="D112" t="str">
            <v>MND</v>
          </cell>
          <cell r="H112">
            <v>375</v>
          </cell>
        </row>
        <row r="113">
          <cell r="A113" t="str">
            <v>PC</v>
          </cell>
          <cell r="B113" t="str">
            <v>PC</v>
          </cell>
          <cell r="C113" t="str">
            <v>D</v>
          </cell>
          <cell r="D113" t="str">
            <v>st</v>
          </cell>
          <cell r="H113">
            <v>1500</v>
          </cell>
        </row>
        <row r="114">
          <cell r="A114" t="str">
            <v>TELAANSL</v>
          </cell>
          <cell r="B114" t="str">
            <v>Telephone Connection</v>
          </cell>
          <cell r="C114" t="str">
            <v>D</v>
          </cell>
          <cell r="D114" t="str">
            <v>ST</v>
          </cell>
          <cell r="H114">
            <v>1000</v>
          </cell>
        </row>
        <row r="115">
          <cell r="A115" t="str">
            <v>TELVERBR</v>
          </cell>
          <cell r="B115" t="str">
            <v>Telephone Use</v>
          </cell>
          <cell r="C115" t="str">
            <v>D</v>
          </cell>
          <cell r="D115" t="str">
            <v>MND</v>
          </cell>
          <cell r="H115">
            <v>1000</v>
          </cell>
        </row>
        <row r="116">
          <cell r="A116" t="str">
            <v>Afvoer Grond</v>
          </cell>
          <cell r="B116" t="str">
            <v>Afvoer Grond</v>
          </cell>
          <cell r="C116" t="str">
            <v>D</v>
          </cell>
          <cell r="D116" t="str">
            <v>FF</v>
          </cell>
          <cell r="H116">
            <v>66612</v>
          </cell>
        </row>
        <row r="117">
          <cell r="A117" t="str">
            <v>AFVAL</v>
          </cell>
          <cell r="B117" t="str">
            <v>Waste Containers</v>
          </cell>
          <cell r="C117" t="str">
            <v>D</v>
          </cell>
          <cell r="D117" t="str">
            <v>ST</v>
          </cell>
          <cell r="H117">
            <v>350</v>
          </cell>
        </row>
        <row r="118">
          <cell r="A118" t="str">
            <v>AIRCO</v>
          </cell>
          <cell r="B118" t="str">
            <v>Airconditioning</v>
          </cell>
          <cell r="C118" t="str">
            <v>D</v>
          </cell>
          <cell r="D118" t="str">
            <v>ST</v>
          </cell>
          <cell r="H118">
            <v>42.5</v>
          </cell>
        </row>
        <row r="119">
          <cell r="A119" t="str">
            <v>maco</v>
          </cell>
          <cell r="B119" t="str">
            <v>Material Container</v>
          </cell>
          <cell r="C119" t="str">
            <v>D</v>
          </cell>
          <cell r="D119" t="str">
            <v>D</v>
          </cell>
          <cell r="H119">
            <v>7</v>
          </cell>
        </row>
        <row r="120">
          <cell r="A120" t="str">
            <v>buroco</v>
          </cell>
          <cell r="B120" t="str">
            <v>Office Container</v>
          </cell>
          <cell r="C120" t="str">
            <v>D</v>
          </cell>
          <cell r="D120" t="str">
            <v>wk</v>
          </cell>
          <cell r="H120">
            <v>100</v>
          </cell>
        </row>
        <row r="121">
          <cell r="A121" t="str">
            <v>IT</v>
          </cell>
          <cell r="B121" t="str">
            <v>IT installation</v>
          </cell>
          <cell r="C121" t="str">
            <v>D</v>
          </cell>
          <cell r="D121" t="str">
            <v>FF</v>
          </cell>
          <cell r="H121">
            <v>20000</v>
          </cell>
        </row>
        <row r="122">
          <cell r="A122" t="str">
            <v>Terrein</v>
          </cell>
          <cell r="B122" t="str">
            <v>Rental yard</v>
          </cell>
          <cell r="C122" t="str">
            <v>D</v>
          </cell>
          <cell r="D122" t="str">
            <v>MND</v>
          </cell>
          <cell r="H122">
            <v>5000</v>
          </cell>
        </row>
        <row r="123">
          <cell r="A123" t="str">
            <v>Loods</v>
          </cell>
          <cell r="B123" t="str">
            <v>Rental hangar</v>
          </cell>
          <cell r="C123" t="str">
            <v>D</v>
          </cell>
          <cell r="D123" t="str">
            <v>MND</v>
          </cell>
          <cell r="H123">
            <v>1000</v>
          </cell>
        </row>
        <row r="124">
          <cell r="A124" t="str">
            <v>Rij_verrijden</v>
          </cell>
          <cell r="B124" t="str">
            <v>Rijplaten verrijden</v>
          </cell>
          <cell r="C124" t="str">
            <v>D</v>
          </cell>
          <cell r="D124" t="str">
            <v>m</v>
          </cell>
          <cell r="H124">
            <v>1.4</v>
          </cell>
        </row>
        <row r="125">
          <cell r="A125" t="str">
            <v>schweg</v>
          </cell>
          <cell r="B125" t="str">
            <v>Damages Roads</v>
          </cell>
          <cell r="C125" t="str">
            <v>D</v>
          </cell>
          <cell r="D125" t="str">
            <v>M2</v>
          </cell>
          <cell r="H125">
            <v>100</v>
          </cell>
        </row>
        <row r="126">
          <cell r="A126" t="str">
            <v>schdiv</v>
          </cell>
          <cell r="B126" t="str">
            <v>Damages Divers</v>
          </cell>
          <cell r="C126" t="str">
            <v>D</v>
          </cell>
          <cell r="D126" t="str">
            <v>FF</v>
          </cell>
          <cell r="H126">
            <v>15000</v>
          </cell>
        </row>
        <row r="127">
          <cell r="A127" t="str">
            <v>schmach</v>
          </cell>
          <cell r="B127" t="str">
            <v>Damages Machines</v>
          </cell>
          <cell r="C127" t="str">
            <v>D</v>
          </cell>
          <cell r="D127" t="str">
            <v>FF</v>
          </cell>
          <cell r="H127">
            <v>35000</v>
          </cell>
        </row>
        <row r="128">
          <cell r="A128" t="str">
            <v>overbr</v>
          </cell>
          <cell r="B128" t="str">
            <v>Extra Working Width</v>
          </cell>
          <cell r="C128" t="str">
            <v>D</v>
          </cell>
          <cell r="D128" t="str">
            <v>FF</v>
          </cell>
          <cell r="H128">
            <v>66541</v>
          </cell>
        </row>
        <row r="129">
          <cell r="A129" t="str">
            <v>Walsen</v>
          </cell>
          <cell r="B129" t="str">
            <v>Rijplaten walsen (10%)</v>
          </cell>
          <cell r="C129" t="str">
            <v>D</v>
          </cell>
          <cell r="D129" t="str">
            <v>ST</v>
          </cell>
          <cell r="H129">
            <v>56</v>
          </cell>
        </row>
        <row r="130">
          <cell r="A130" t="str">
            <v>Verlies</v>
          </cell>
          <cell r="B130" t="str">
            <v>Rijplaten verlies (2%)</v>
          </cell>
          <cell r="C130" t="str">
            <v>D</v>
          </cell>
          <cell r="D130" t="str">
            <v>ST</v>
          </cell>
          <cell r="H130">
            <v>1000</v>
          </cell>
        </row>
        <row r="131">
          <cell r="A131" t="str">
            <v>DIXI</v>
          </cell>
          <cell r="B131" t="str">
            <v>Chemic Toilets</v>
          </cell>
          <cell r="C131" t="str">
            <v>D</v>
          </cell>
          <cell r="D131" t="str">
            <v>D</v>
          </cell>
          <cell r="H131">
            <v>3.6</v>
          </cell>
        </row>
        <row r="132">
          <cell r="A132" t="str">
            <v>AIRCOI</v>
          </cell>
          <cell r="B132" t="str">
            <v>Installation Airconditioning</v>
          </cell>
          <cell r="C132" t="str">
            <v>D</v>
          </cell>
          <cell r="D132" t="str">
            <v>ST</v>
          </cell>
          <cell r="H132">
            <v>65</v>
          </cell>
        </row>
        <row r="133">
          <cell r="A133" t="str">
            <v>MON</v>
          </cell>
          <cell r="B133" t="str">
            <v>Montage and demontage Site offices</v>
          </cell>
          <cell r="C133" t="str">
            <v>D</v>
          </cell>
          <cell r="D133" t="str">
            <v>FF</v>
          </cell>
          <cell r="H133">
            <v>10000</v>
          </cell>
        </row>
        <row r="134">
          <cell r="A134" t="str">
            <v>TRANS_RIJ</v>
          </cell>
          <cell r="B134" t="str">
            <v>Transport rijplaten</v>
          </cell>
          <cell r="C134" t="str">
            <v>D</v>
          </cell>
          <cell r="D134" t="str">
            <v>TP</v>
          </cell>
          <cell r="H134">
            <v>240</v>
          </cell>
        </row>
        <row r="135">
          <cell r="A135" t="str">
            <v>ELAANSL</v>
          </cell>
          <cell r="B135" t="str">
            <v>Electricity connection</v>
          </cell>
          <cell r="C135" t="str">
            <v>D</v>
          </cell>
          <cell r="D135" t="str">
            <v>ST</v>
          </cell>
          <cell r="H135">
            <v>4500</v>
          </cell>
        </row>
        <row r="136">
          <cell r="A136" t="str">
            <v>ELVERBR</v>
          </cell>
          <cell r="B136" t="str">
            <v>Electricity use</v>
          </cell>
          <cell r="C136" t="str">
            <v>D</v>
          </cell>
          <cell r="D136" t="str">
            <v>MND</v>
          </cell>
          <cell r="H136">
            <v>3000</v>
          </cell>
        </row>
        <row r="137">
          <cell r="A137" t="str">
            <v>TRANS1</v>
          </cell>
          <cell r="B137" t="str">
            <v>Transport 1000euro</v>
          </cell>
          <cell r="C137" t="str">
            <v>D</v>
          </cell>
          <cell r="D137" t="str">
            <v>ST</v>
          </cell>
          <cell r="H137">
            <v>1000</v>
          </cell>
        </row>
        <row r="138">
          <cell r="A138" t="str">
            <v>TRANS2</v>
          </cell>
          <cell r="B138" t="str">
            <v>Transport 2000euro</v>
          </cell>
          <cell r="C138" t="str">
            <v>D</v>
          </cell>
          <cell r="D138" t="str">
            <v>ST</v>
          </cell>
          <cell r="H138">
            <v>2000</v>
          </cell>
        </row>
        <row r="139">
          <cell r="A139" t="str">
            <v>TRANS3</v>
          </cell>
          <cell r="B139" t="str">
            <v>Transport 3000euro</v>
          </cell>
          <cell r="C139" t="str">
            <v>D</v>
          </cell>
          <cell r="D139" t="str">
            <v>ST</v>
          </cell>
          <cell r="H139">
            <v>3000</v>
          </cell>
        </row>
        <row r="140">
          <cell r="A140" t="str">
            <v>TRANS4</v>
          </cell>
          <cell r="B140" t="str">
            <v>Transport 4000euro</v>
          </cell>
          <cell r="C140" t="str">
            <v>D</v>
          </cell>
          <cell r="D140" t="str">
            <v>ST</v>
          </cell>
          <cell r="H140">
            <v>4000</v>
          </cell>
        </row>
        <row r="141">
          <cell r="A141" t="str">
            <v>TRANS5</v>
          </cell>
          <cell r="B141" t="str">
            <v>Transport 5000euro</v>
          </cell>
          <cell r="C141" t="str">
            <v>D</v>
          </cell>
          <cell r="D141" t="str">
            <v>ST</v>
          </cell>
          <cell r="H141">
            <v>5000</v>
          </cell>
        </row>
        <row r="142">
          <cell r="A142" t="str">
            <v>TransDelf</v>
          </cell>
          <cell r="B142" t="str">
            <v>Transporten uit Delfzijl</v>
          </cell>
          <cell r="C142" t="str">
            <v>D</v>
          </cell>
          <cell r="D142" t="str">
            <v>ST</v>
          </cell>
          <cell r="H142">
            <v>180</v>
          </cell>
        </row>
        <row r="143">
          <cell r="A143" t="str">
            <v>Transwerf</v>
          </cell>
          <cell r="B143" t="str">
            <v>Transporten of bends on the site</v>
          </cell>
          <cell r="C143" t="str">
            <v>D</v>
          </cell>
          <cell r="D143" t="str">
            <v>ST</v>
          </cell>
          <cell r="H143">
            <v>500</v>
          </cell>
        </row>
        <row r="144">
          <cell r="A144" t="str">
            <v>TransMontzen</v>
          </cell>
          <cell r="B144" t="str">
            <v>Transporten uit Montzen</v>
          </cell>
          <cell r="C144" t="str">
            <v>D</v>
          </cell>
          <cell r="D144" t="str">
            <v>ST</v>
          </cell>
          <cell r="H144">
            <v>750</v>
          </cell>
        </row>
        <row r="145">
          <cell r="A145" t="str">
            <v>TransBochten</v>
          </cell>
          <cell r="B145" t="str">
            <v>Transporten van Warme bochten</v>
          </cell>
          <cell r="C145" t="str">
            <v>D</v>
          </cell>
          <cell r="D145" t="str">
            <v>ST</v>
          </cell>
          <cell r="H145">
            <v>1000</v>
          </cell>
        </row>
        <row r="146">
          <cell r="A146" t="str">
            <v>WERFCO</v>
          </cell>
          <cell r="B146" t="str">
            <v>Site offices Cabines</v>
          </cell>
          <cell r="C146" t="str">
            <v>D</v>
          </cell>
          <cell r="D146" t="str">
            <v>WEEK</v>
          </cell>
          <cell r="H146">
            <v>3000</v>
          </cell>
        </row>
        <row r="147">
          <cell r="A147" t="str">
            <v>verzek</v>
          </cell>
          <cell r="B147" t="str">
            <v>Assurances</v>
          </cell>
          <cell r="C147" t="str">
            <v>D</v>
          </cell>
          <cell r="D147" t="str">
            <v>ff</v>
          </cell>
          <cell r="H147">
            <v>315296</v>
          </cell>
        </row>
        <row r="148">
          <cell r="A148" t="str">
            <v>bankgar</v>
          </cell>
          <cell r="B148" t="str">
            <v>Bankguarantees</v>
          </cell>
          <cell r="C148" t="str">
            <v>D</v>
          </cell>
          <cell r="D148" t="str">
            <v>ff</v>
          </cell>
          <cell r="H148">
            <v>112000</v>
          </cell>
        </row>
        <row r="149">
          <cell r="A149" t="str">
            <v>concsiphon</v>
          </cell>
          <cell r="B149" t="str">
            <v>Concrete Siphon</v>
          </cell>
          <cell r="C149" t="str">
            <v>D</v>
          </cell>
          <cell r="D149" t="str">
            <v>ff</v>
          </cell>
          <cell r="H149">
            <v>120000</v>
          </cell>
        </row>
        <row r="150">
          <cell r="A150" t="str">
            <v>plaats</v>
          </cell>
          <cell r="B150" t="str">
            <v>Inventory of Fixtures</v>
          </cell>
          <cell r="C150" t="str">
            <v>D</v>
          </cell>
          <cell r="D150" t="str">
            <v>FF</v>
          </cell>
          <cell r="H150">
            <v>25000</v>
          </cell>
        </row>
        <row r="151">
          <cell r="A151" t="str">
            <v>elecpaal</v>
          </cell>
          <cell r="B151" t="str">
            <v>reloaction of Electrical Poles</v>
          </cell>
          <cell r="C151" t="str">
            <v>D</v>
          </cell>
          <cell r="D151" t="str">
            <v>FF</v>
          </cell>
          <cell r="H151">
            <v>7000</v>
          </cell>
        </row>
        <row r="152">
          <cell r="A152" t="str">
            <v>penvoerder</v>
          </cell>
          <cell r="B152" t="str">
            <v>accountancy 0,3%</v>
          </cell>
          <cell r="C152" t="str">
            <v>D</v>
          </cell>
          <cell r="D152" t="str">
            <v>ff</v>
          </cell>
          <cell r="H152">
            <v>225000</v>
          </cell>
        </row>
        <row r="153">
          <cell r="E153" t="str">
            <v>uur</v>
          </cell>
          <cell r="F153" t="str">
            <v>dag</v>
          </cell>
          <cell r="G153" t="str">
            <v>week</v>
          </cell>
          <cell r="H153" t="str">
            <v>eenh.</v>
          </cell>
        </row>
        <row r="154">
          <cell r="B154" t="str">
            <v>Materieel</v>
          </cell>
          <cell r="E154" t="str">
            <v>€</v>
          </cell>
          <cell r="F154" t="str">
            <v>€</v>
          </cell>
          <cell r="G154" t="str">
            <v>€</v>
          </cell>
          <cell r="H154" t="str">
            <v>€</v>
          </cell>
        </row>
        <row r="155">
          <cell r="A155" t="str">
            <v>AG125</v>
          </cell>
          <cell r="B155" t="str">
            <v>Electrical group 125KVA</v>
          </cell>
          <cell r="C155" t="str">
            <v>MG</v>
          </cell>
          <cell r="D155" t="str">
            <v>D</v>
          </cell>
          <cell r="F155">
            <v>50</v>
          </cell>
          <cell r="H155">
            <v>50</v>
          </cell>
        </row>
        <row r="156">
          <cell r="A156" t="str">
            <v>E30</v>
          </cell>
          <cell r="B156" t="str">
            <v>Electrical group 50 KVA</v>
          </cell>
          <cell r="C156" t="str">
            <v>MG</v>
          </cell>
          <cell r="D156" t="str">
            <v>D</v>
          </cell>
          <cell r="H156">
            <v>26.2271</v>
          </cell>
        </row>
        <row r="157">
          <cell r="A157" t="str">
            <v>E8</v>
          </cell>
          <cell r="B157" t="str">
            <v>Electrical group 008KVA</v>
          </cell>
          <cell r="C157" t="str">
            <v>MG</v>
          </cell>
          <cell r="D157" t="str">
            <v>D</v>
          </cell>
          <cell r="H157">
            <v>6.7675000000000001</v>
          </cell>
          <cell r="I157" t="str">
            <v>uur</v>
          </cell>
          <cell r="J157" t="str">
            <v>dag</v>
          </cell>
          <cell r="K157" t="str">
            <v>week</v>
          </cell>
          <cell r="L157" t="str">
            <v>eenh.</v>
          </cell>
          <cell r="M157" t="str">
            <v>uur</v>
          </cell>
          <cell r="N157" t="str">
            <v>dag</v>
          </cell>
          <cell r="O157" t="str">
            <v>week</v>
          </cell>
          <cell r="P157" t="str">
            <v>eenh.</v>
          </cell>
          <cell r="Q157" t="str">
            <v>Tarief</v>
          </cell>
          <cell r="R157" t="str">
            <v>verbruik</v>
          </cell>
        </row>
        <row r="158">
          <cell r="A158" t="str">
            <v>GPS</v>
          </cell>
          <cell r="B158" t="str">
            <v>GPS</v>
          </cell>
          <cell r="C158" t="str">
            <v>MG</v>
          </cell>
          <cell r="D158" t="str">
            <v>D</v>
          </cell>
          <cell r="H158">
            <v>35</v>
          </cell>
          <cell r="I158" t="str">
            <v>Fr</v>
          </cell>
          <cell r="J158" t="str">
            <v>Fr</v>
          </cell>
          <cell r="K158" t="str">
            <v>Fr</v>
          </cell>
          <cell r="L158" t="str">
            <v>Fr</v>
          </cell>
          <cell r="M158" t="str">
            <v>Hfl</v>
          </cell>
          <cell r="N158" t="str">
            <v>Hfl</v>
          </cell>
          <cell r="O158" t="str">
            <v>Hfl</v>
          </cell>
          <cell r="P158" t="str">
            <v>Hfl</v>
          </cell>
          <cell r="Q158" t="str">
            <v>€</v>
          </cell>
          <cell r="R158" t="str">
            <v>l/eenh.</v>
          </cell>
        </row>
        <row r="159">
          <cell r="A159" t="str">
            <v>AW10</v>
          </cell>
          <cell r="B159" t="str">
            <v>Trailer 10 T</v>
          </cell>
          <cell r="C159" t="str">
            <v>MG</v>
          </cell>
          <cell r="D159" t="str">
            <v>D</v>
          </cell>
          <cell r="H159">
            <v>13.4854</v>
          </cell>
        </row>
        <row r="160">
          <cell r="A160" t="str">
            <v>AW2</v>
          </cell>
          <cell r="B160" t="str">
            <v>Trailer 2 TON</v>
          </cell>
          <cell r="C160" t="str">
            <v>MG</v>
          </cell>
          <cell r="D160" t="str">
            <v>D</v>
          </cell>
          <cell r="H160">
            <v>4</v>
          </cell>
        </row>
        <row r="161">
          <cell r="A161" t="str">
            <v>AW25</v>
          </cell>
          <cell r="B161" t="str">
            <v>Trailer 25 T</v>
          </cell>
          <cell r="C161" t="str">
            <v>MG</v>
          </cell>
          <cell r="D161" t="str">
            <v>D</v>
          </cell>
          <cell r="H161">
            <v>31</v>
          </cell>
        </row>
        <row r="162">
          <cell r="A162" t="str">
            <v>BINNEKL</v>
          </cell>
          <cell r="B162" t="str">
            <v>Internal clamps</v>
          </cell>
          <cell r="C162" t="str">
            <v>MG</v>
          </cell>
          <cell r="D162" t="str">
            <v>D</v>
          </cell>
          <cell r="H162">
            <v>75</v>
          </cell>
        </row>
        <row r="163">
          <cell r="A163" t="str">
            <v>BSAPP</v>
          </cell>
          <cell r="B163" t="str">
            <v>Cutting equipment</v>
          </cell>
          <cell r="C163" t="str">
            <v>MG</v>
          </cell>
          <cell r="D163" t="str">
            <v>D</v>
          </cell>
          <cell r="H163">
            <v>100</v>
          </cell>
        </row>
        <row r="164">
          <cell r="A164" t="str">
            <v>BRUG</v>
          </cell>
          <cell r="B164" t="str">
            <v>Bridges</v>
          </cell>
          <cell r="C164" t="str">
            <v>MG</v>
          </cell>
          <cell r="D164" t="str">
            <v>ST</v>
          </cell>
          <cell r="H164">
            <v>1500</v>
          </cell>
        </row>
        <row r="165">
          <cell r="A165" t="str">
            <v>BUS</v>
          </cell>
          <cell r="B165" t="str">
            <v>Bus</v>
          </cell>
          <cell r="C165" t="str">
            <v>MG</v>
          </cell>
          <cell r="D165" t="str">
            <v>D</v>
          </cell>
          <cell r="H165">
            <v>60</v>
          </cell>
        </row>
        <row r="166">
          <cell r="A166" t="str">
            <v>haspel</v>
          </cell>
          <cell r="B166" t="str">
            <v>Haspelhouder</v>
          </cell>
          <cell r="C166" t="str">
            <v>MG</v>
          </cell>
          <cell r="D166" t="str">
            <v>D</v>
          </cell>
          <cell r="H166">
            <v>3</v>
          </cell>
        </row>
        <row r="167">
          <cell r="A167" t="str">
            <v>BUS1</v>
          </cell>
          <cell r="B167" t="str">
            <v>Bus 09P ford transit</v>
          </cell>
          <cell r="C167" t="str">
            <v>MG</v>
          </cell>
          <cell r="D167" t="str">
            <v>D</v>
          </cell>
          <cell r="H167">
            <v>60</v>
          </cell>
        </row>
        <row r="168">
          <cell r="A168" t="str">
            <v>CL40</v>
          </cell>
          <cell r="B168" t="str">
            <v>internal clamps 40"</v>
          </cell>
          <cell r="C168" t="str">
            <v>MG</v>
          </cell>
          <cell r="D168" t="str">
            <v>D</v>
          </cell>
          <cell r="H168">
            <v>250</v>
          </cell>
        </row>
        <row r="169">
          <cell r="A169" t="str">
            <v>CL48</v>
          </cell>
          <cell r="B169" t="str">
            <v>internal clamps 48"</v>
          </cell>
          <cell r="C169" t="str">
            <v>MG</v>
          </cell>
          <cell r="D169" t="str">
            <v>D</v>
          </cell>
          <cell r="H169">
            <v>298.5</v>
          </cell>
        </row>
        <row r="170">
          <cell r="A170" t="str">
            <v>CO7</v>
          </cell>
          <cell r="B170" t="str">
            <v>Compressor 07 M3</v>
          </cell>
          <cell r="C170" t="str">
            <v>MG</v>
          </cell>
          <cell r="D170" t="str">
            <v>D</v>
          </cell>
          <cell r="H170">
            <v>50</v>
          </cell>
        </row>
        <row r="171">
          <cell r="A171" t="str">
            <v>CO40</v>
          </cell>
          <cell r="B171" t="str">
            <v>Compressor 40 m3</v>
          </cell>
          <cell r="C171" t="str">
            <v>MG</v>
          </cell>
          <cell r="D171" t="str">
            <v>D</v>
          </cell>
          <cell r="H171">
            <v>158</v>
          </cell>
        </row>
        <row r="172">
          <cell r="A172" t="str">
            <v>COHUUR</v>
          </cell>
          <cell r="B172" t="str">
            <v>Compressor drying</v>
          </cell>
          <cell r="C172" t="str">
            <v>MG</v>
          </cell>
          <cell r="D172" t="str">
            <v>D</v>
          </cell>
          <cell r="H172">
            <v>500</v>
          </cell>
        </row>
        <row r="173">
          <cell r="A173" t="str">
            <v>DWAC</v>
          </cell>
          <cell r="B173" t="str">
            <v>Dammer wacker</v>
          </cell>
          <cell r="C173" t="str">
            <v>MG</v>
          </cell>
          <cell r="D173" t="str">
            <v>D</v>
          </cell>
          <cell r="H173">
            <v>7</v>
          </cell>
        </row>
        <row r="174">
          <cell r="A174" t="str">
            <v>DL25</v>
          </cell>
          <cell r="B174" t="str">
            <v>Lowloader 25 T</v>
          </cell>
          <cell r="C174" t="str">
            <v>MG</v>
          </cell>
          <cell r="D174" t="str">
            <v>D</v>
          </cell>
          <cell r="H174">
            <v>31</v>
          </cell>
        </row>
        <row r="175">
          <cell r="A175" t="str">
            <v>DL40</v>
          </cell>
          <cell r="B175" t="str">
            <v>Lowloader 40T</v>
          </cell>
          <cell r="C175" t="str">
            <v>MG</v>
          </cell>
          <cell r="D175" t="str">
            <v>D</v>
          </cell>
          <cell r="H175">
            <v>52</v>
          </cell>
        </row>
        <row r="176">
          <cell r="A176" t="str">
            <v>DL30</v>
          </cell>
          <cell r="B176" t="str">
            <v>Lowloader 30 T</v>
          </cell>
          <cell r="C176" t="str">
            <v>MG</v>
          </cell>
          <cell r="D176" t="str">
            <v>D</v>
          </cell>
          <cell r="H176">
            <v>37</v>
          </cell>
        </row>
        <row r="177">
          <cell r="A177" t="str">
            <v>EETWA</v>
          </cell>
          <cell r="B177" t="str">
            <v>mobile cabine</v>
          </cell>
          <cell r="C177" t="str">
            <v>MG</v>
          </cell>
          <cell r="D177" t="str">
            <v>D</v>
          </cell>
          <cell r="H177">
            <v>6</v>
          </cell>
        </row>
        <row r="178">
          <cell r="A178" t="str">
            <v>D4</v>
          </cell>
          <cell r="B178" t="str">
            <v>D4</v>
          </cell>
          <cell r="C178" t="str">
            <v>MG</v>
          </cell>
          <cell r="D178" t="str">
            <v>D</v>
          </cell>
          <cell r="H178">
            <v>172</v>
          </cell>
        </row>
        <row r="179">
          <cell r="A179" t="str">
            <v>D6</v>
          </cell>
          <cell r="B179" t="str">
            <v>D6</v>
          </cell>
          <cell r="C179" t="str">
            <v>MG</v>
          </cell>
          <cell r="D179" t="str">
            <v>D</v>
          </cell>
          <cell r="H179">
            <v>270</v>
          </cell>
        </row>
        <row r="180">
          <cell r="A180" t="str">
            <v>TP10</v>
          </cell>
          <cell r="B180" t="str">
            <v>compaction plate 100cm</v>
          </cell>
          <cell r="C180" t="str">
            <v>MG</v>
          </cell>
          <cell r="D180" t="str">
            <v>D</v>
          </cell>
          <cell r="H180">
            <v>16</v>
          </cell>
        </row>
        <row r="181">
          <cell r="A181" t="str">
            <v>GOLF</v>
          </cell>
          <cell r="B181" t="str">
            <v>Golf</v>
          </cell>
          <cell r="C181" t="str">
            <v>MG</v>
          </cell>
          <cell r="D181" t="str">
            <v>D</v>
          </cell>
          <cell r="H181">
            <v>44.1</v>
          </cell>
        </row>
        <row r="182">
          <cell r="A182" t="str">
            <v>GG600</v>
          </cell>
          <cell r="B182" t="str">
            <v>Flumepipe dia 600</v>
          </cell>
          <cell r="C182" t="str">
            <v>MG</v>
          </cell>
          <cell r="D182" t="str">
            <v>MMND</v>
          </cell>
          <cell r="H182">
            <v>5</v>
          </cell>
        </row>
        <row r="183">
          <cell r="A183" t="str">
            <v>SHOVEL</v>
          </cell>
          <cell r="B183" t="str">
            <v>Shovel</v>
          </cell>
          <cell r="C183" t="str">
            <v>MG</v>
          </cell>
          <cell r="D183" t="str">
            <v>D</v>
          </cell>
          <cell r="H183">
            <v>80</v>
          </cell>
        </row>
        <row r="184">
          <cell r="A184" t="str">
            <v>HEFTRUCK</v>
          </cell>
          <cell r="B184" t="str">
            <v>Telescopic Frontloader</v>
          </cell>
          <cell r="C184" t="str">
            <v>MG</v>
          </cell>
          <cell r="D184" t="str">
            <v>WEEK</v>
          </cell>
          <cell r="H184">
            <v>200</v>
          </cell>
        </row>
        <row r="185">
          <cell r="A185" t="str">
            <v>HI15B</v>
          </cell>
          <cell r="B185" t="str">
            <v>Hydr kraan hitachi 150 tires</v>
          </cell>
          <cell r="C185" t="str">
            <v>MG</v>
          </cell>
          <cell r="D185" t="str">
            <v>D</v>
          </cell>
          <cell r="H185">
            <v>179</v>
          </cell>
        </row>
        <row r="186">
          <cell r="A186" t="str">
            <v>HI150</v>
          </cell>
          <cell r="B186" t="str">
            <v>Hydr kraan hitachi 150 tracks</v>
          </cell>
          <cell r="C186" t="str">
            <v>MG</v>
          </cell>
          <cell r="D186" t="str">
            <v>D</v>
          </cell>
          <cell r="H186">
            <v>170</v>
          </cell>
        </row>
        <row r="187">
          <cell r="A187" t="str">
            <v>HI220</v>
          </cell>
          <cell r="B187" t="str">
            <v>Hydr kraan hitachi 220 tracks</v>
          </cell>
          <cell r="C187" t="str">
            <v>MG</v>
          </cell>
          <cell r="D187" t="str">
            <v>D</v>
          </cell>
          <cell r="H187">
            <v>200</v>
          </cell>
        </row>
        <row r="188">
          <cell r="A188" t="str">
            <v>HI300</v>
          </cell>
          <cell r="B188" t="str">
            <v>Hydr kraan hitachi 300 tracks</v>
          </cell>
          <cell r="C188" t="str">
            <v>MG</v>
          </cell>
          <cell r="D188" t="str">
            <v>D</v>
          </cell>
          <cell r="H188">
            <v>230</v>
          </cell>
        </row>
        <row r="189">
          <cell r="A189" t="str">
            <v>HI330</v>
          </cell>
          <cell r="B189" t="str">
            <v>Hydr kraan hitachi 350 tracks</v>
          </cell>
          <cell r="C189" t="str">
            <v>MG</v>
          </cell>
          <cell r="D189" t="str">
            <v>D</v>
          </cell>
          <cell r="H189">
            <v>260</v>
          </cell>
        </row>
        <row r="190">
          <cell r="A190" t="str">
            <v>HI255</v>
          </cell>
          <cell r="B190" t="str">
            <v>Hydr kraan hitachi 255 tracks</v>
          </cell>
          <cell r="C190" t="str">
            <v>MG</v>
          </cell>
          <cell r="D190" t="str">
            <v>D</v>
          </cell>
          <cell r="H190">
            <v>290</v>
          </cell>
        </row>
        <row r="191">
          <cell r="A191" t="str">
            <v>HI700</v>
          </cell>
          <cell r="B191" t="str">
            <v>cable crane hitachi SCX700</v>
          </cell>
          <cell r="C191" t="str">
            <v>MG</v>
          </cell>
          <cell r="D191" t="str">
            <v>D</v>
          </cell>
          <cell r="H191">
            <v>566</v>
          </cell>
        </row>
        <row r="192">
          <cell r="A192" t="str">
            <v>HI470</v>
          </cell>
          <cell r="B192" t="str">
            <v>Hydr kraan hitachi 470 tracks</v>
          </cell>
          <cell r="C192" t="str">
            <v>MG</v>
          </cell>
          <cell r="D192" t="str">
            <v>D</v>
          </cell>
          <cell r="H192">
            <v>360</v>
          </cell>
        </row>
        <row r="193">
          <cell r="A193" t="str">
            <v>HI600</v>
          </cell>
          <cell r="B193" t="str">
            <v>Hydr kraan hitachi 600 tracks</v>
          </cell>
          <cell r="C193" t="str">
            <v>MG</v>
          </cell>
          <cell r="D193" t="str">
            <v>D</v>
          </cell>
          <cell r="H193">
            <v>400</v>
          </cell>
        </row>
        <row r="194">
          <cell r="A194" t="str">
            <v>JEEP</v>
          </cell>
          <cell r="B194" t="str">
            <v>Jeep nissan</v>
          </cell>
          <cell r="C194" t="str">
            <v>MG</v>
          </cell>
          <cell r="D194" t="str">
            <v>D</v>
          </cell>
          <cell r="H194">
            <v>115</v>
          </cell>
        </row>
        <row r="195">
          <cell r="A195" t="str">
            <v>KUBOTA</v>
          </cell>
          <cell r="B195" t="str">
            <v>Kubota</v>
          </cell>
          <cell r="C195" t="str">
            <v>MG</v>
          </cell>
          <cell r="D195" t="str">
            <v>D</v>
          </cell>
          <cell r="H195">
            <v>45</v>
          </cell>
        </row>
        <row r="196">
          <cell r="A196" t="str">
            <v>URSA</v>
          </cell>
          <cell r="B196" t="str">
            <v>cleaning machines</v>
          </cell>
          <cell r="C196" t="str">
            <v>MG</v>
          </cell>
          <cell r="D196" t="str">
            <v>D</v>
          </cell>
          <cell r="H196">
            <v>10</v>
          </cell>
        </row>
        <row r="197">
          <cell r="A197" t="str">
            <v>LBT</v>
          </cell>
          <cell r="B197" t="str">
            <v>Tractor</v>
          </cell>
          <cell r="C197" t="str">
            <v>MG</v>
          </cell>
          <cell r="D197" t="str">
            <v>D</v>
          </cell>
          <cell r="H197">
            <v>83</v>
          </cell>
        </row>
        <row r="198">
          <cell r="A198" t="str">
            <v>LBTF</v>
          </cell>
          <cell r="B198" t="str">
            <v>tractor with milling cutter</v>
          </cell>
          <cell r="C198" t="str">
            <v>MG</v>
          </cell>
          <cell r="D198" t="str">
            <v>D</v>
          </cell>
          <cell r="H198">
            <v>83</v>
          </cell>
        </row>
        <row r="199">
          <cell r="A199" t="str">
            <v>LD4</v>
          </cell>
          <cell r="B199" t="str">
            <v>Welding machine</v>
          </cell>
          <cell r="C199" t="str">
            <v>MG</v>
          </cell>
          <cell r="D199" t="str">
            <v>D</v>
          </cell>
          <cell r="H199">
            <v>35</v>
          </cell>
        </row>
        <row r="200">
          <cell r="A200" t="str">
            <v>HOND</v>
          </cell>
          <cell r="B200" t="str">
            <v>Blindage</v>
          </cell>
          <cell r="C200" t="str">
            <v>MG</v>
          </cell>
          <cell r="D200" t="str">
            <v>D</v>
          </cell>
          <cell r="H200">
            <v>15</v>
          </cell>
        </row>
        <row r="201">
          <cell r="A201" t="str">
            <v>LATNT</v>
          </cell>
          <cell r="B201" t="str">
            <v>Welding Tent</v>
          </cell>
          <cell r="C201" t="str">
            <v>MG</v>
          </cell>
          <cell r="D201" t="str">
            <v>D</v>
          </cell>
          <cell r="H201">
            <v>20</v>
          </cell>
        </row>
        <row r="202">
          <cell r="A202" t="str">
            <v>LATNTauto</v>
          </cell>
          <cell r="B202" t="str">
            <v>Welding tent Automatic</v>
          </cell>
          <cell r="C202" t="str">
            <v>MG</v>
          </cell>
          <cell r="D202" t="str">
            <v>D</v>
          </cell>
          <cell r="H202">
            <v>120</v>
          </cell>
        </row>
        <row r="203">
          <cell r="A203" t="str">
            <v>INDUC</v>
          </cell>
          <cell r="B203" t="str">
            <v>Induction</v>
          </cell>
          <cell r="C203" t="str">
            <v>MG</v>
          </cell>
          <cell r="D203" t="str">
            <v>D</v>
          </cell>
          <cell r="H203">
            <v>179</v>
          </cell>
        </row>
        <row r="204">
          <cell r="A204" t="str">
            <v>INDUC Canusa</v>
          </cell>
          <cell r="B204" t="str">
            <v>Induction Canusa</v>
          </cell>
          <cell r="C204" t="str">
            <v>MG</v>
          </cell>
          <cell r="D204" t="str">
            <v>M</v>
          </cell>
          <cell r="H204">
            <v>6000</v>
          </cell>
        </row>
        <row r="205">
          <cell r="A205" t="str">
            <v>MATA5</v>
          </cell>
          <cell r="B205" t="str">
            <v>Mazouttank 5000 L vast</v>
          </cell>
          <cell r="C205" t="str">
            <v>MG</v>
          </cell>
          <cell r="D205" t="str">
            <v>D</v>
          </cell>
          <cell r="H205">
            <v>10</v>
          </cell>
        </row>
        <row r="206">
          <cell r="A206" t="str">
            <v>MOROOKA 15</v>
          </cell>
          <cell r="B206" t="str">
            <v>Morooka MST1500</v>
          </cell>
          <cell r="C206" t="str">
            <v>MG</v>
          </cell>
          <cell r="D206" t="str">
            <v>D</v>
          </cell>
          <cell r="H206">
            <v>172</v>
          </cell>
        </row>
        <row r="207">
          <cell r="A207" t="str">
            <v>Morooka 22</v>
          </cell>
          <cell r="B207" t="str">
            <v>Morooka 2200</v>
          </cell>
          <cell r="C207" t="str">
            <v>MG</v>
          </cell>
          <cell r="D207" t="str">
            <v>D</v>
          </cell>
          <cell r="H207">
            <v>266</v>
          </cell>
        </row>
        <row r="208">
          <cell r="A208" t="str">
            <v>Morooka Iggy</v>
          </cell>
          <cell r="B208" t="str">
            <v>Morooka Iggy</v>
          </cell>
          <cell r="C208" t="str">
            <v>MG</v>
          </cell>
          <cell r="D208" t="str">
            <v>D</v>
          </cell>
          <cell r="H208">
            <v>100</v>
          </cell>
        </row>
        <row r="209">
          <cell r="A209" t="str">
            <v>D3</v>
          </cell>
          <cell r="B209" t="str">
            <v>D3 with crane</v>
          </cell>
          <cell r="C209" t="str">
            <v>MG</v>
          </cell>
          <cell r="D209" t="str">
            <v>D</v>
          </cell>
          <cell r="H209">
            <v>100</v>
          </cell>
        </row>
        <row r="210">
          <cell r="A210" t="str">
            <v>CRC</v>
          </cell>
          <cell r="B210" t="str">
            <v>CRC M300</v>
          </cell>
          <cell r="C210" t="str">
            <v>MG</v>
          </cell>
          <cell r="D210" t="str">
            <v>D</v>
          </cell>
          <cell r="H210">
            <v>244</v>
          </cell>
        </row>
        <row r="211">
          <cell r="A211" t="str">
            <v>ONWA</v>
          </cell>
          <cell r="B211" t="str">
            <v>Bus for Mechanic</v>
          </cell>
          <cell r="C211" t="str">
            <v>MG</v>
          </cell>
          <cell r="D211" t="str">
            <v>D</v>
          </cell>
          <cell r="H211">
            <v>80</v>
          </cell>
        </row>
        <row r="212">
          <cell r="A212" t="str">
            <v>PL48</v>
          </cell>
          <cell r="B212" t="str">
            <v>Bending machine</v>
          </cell>
          <cell r="C212" t="str">
            <v>MG</v>
          </cell>
          <cell r="D212" t="str">
            <v>MND</v>
          </cell>
          <cell r="H212">
            <v>25000</v>
          </cell>
        </row>
        <row r="213">
          <cell r="A213" t="str">
            <v>REX</v>
          </cell>
          <cell r="B213" t="str">
            <v>Renault Express</v>
          </cell>
          <cell r="C213" t="str">
            <v>MG</v>
          </cell>
          <cell r="D213" t="str">
            <v>D</v>
          </cell>
          <cell r="H213">
            <v>40</v>
          </cell>
        </row>
        <row r="214">
          <cell r="A214" t="str">
            <v>RIJPLATEN</v>
          </cell>
          <cell r="B214" t="str">
            <v>Steel plates</v>
          </cell>
          <cell r="C214" t="str">
            <v>MG</v>
          </cell>
          <cell r="D214" t="str">
            <v>D</v>
          </cell>
          <cell r="H214">
            <v>2.5</v>
          </cell>
        </row>
        <row r="215">
          <cell r="A215" t="str">
            <v>SCHOTTEN</v>
          </cell>
          <cell r="B215" t="str">
            <v>Bogmats</v>
          </cell>
          <cell r="C215" t="str">
            <v>MG</v>
          </cell>
          <cell r="D215" t="str">
            <v>ST</v>
          </cell>
          <cell r="H215">
            <v>176</v>
          </cell>
        </row>
        <row r="216">
          <cell r="A216" t="str">
            <v>telescoop</v>
          </cell>
          <cell r="B216" t="str">
            <v>Telescoop</v>
          </cell>
          <cell r="C216" t="str">
            <v>MG</v>
          </cell>
          <cell r="D216" t="str">
            <v>D</v>
          </cell>
          <cell r="H216">
            <v>2350</v>
          </cell>
        </row>
        <row r="217">
          <cell r="A217" t="str">
            <v>SB578</v>
          </cell>
          <cell r="B217" t="str">
            <v>Sideboom 578</v>
          </cell>
          <cell r="C217" t="str">
            <v>MG</v>
          </cell>
          <cell r="D217" t="str">
            <v>D</v>
          </cell>
          <cell r="H217">
            <v>444</v>
          </cell>
        </row>
        <row r="218">
          <cell r="A218" t="str">
            <v>SB587</v>
          </cell>
          <cell r="B218" t="str">
            <v>Sideboom 587</v>
          </cell>
          <cell r="C218" t="str">
            <v>MG</v>
          </cell>
          <cell r="D218" t="str">
            <v>D</v>
          </cell>
          <cell r="H218">
            <v>510</v>
          </cell>
        </row>
        <row r="219">
          <cell r="A219" t="str">
            <v>TESTKEET</v>
          </cell>
          <cell r="B219" t="str">
            <v>Testkeet</v>
          </cell>
          <cell r="C219" t="str">
            <v>MG</v>
          </cell>
          <cell r="D219" t="str">
            <v>D</v>
          </cell>
          <cell r="H219">
            <v>75</v>
          </cell>
        </row>
        <row r="220">
          <cell r="A220" t="str">
            <v>TESTKOP</v>
          </cell>
          <cell r="B220" t="str">
            <v>Testkoppen</v>
          </cell>
          <cell r="C220" t="str">
            <v>MG</v>
          </cell>
          <cell r="D220" t="str">
            <v>D</v>
          </cell>
          <cell r="H220">
            <v>2000</v>
          </cell>
        </row>
        <row r="221">
          <cell r="A221" t="str">
            <v>testkokers</v>
          </cell>
          <cell r="B221" t="str">
            <v xml:space="preserve">Testin equipment FOC </v>
          </cell>
          <cell r="C221" t="str">
            <v>MG</v>
          </cell>
          <cell r="D221" t="str">
            <v>D</v>
          </cell>
          <cell r="H221">
            <v>65</v>
          </cell>
        </row>
        <row r="222">
          <cell r="A222" t="str">
            <v>PICK-UP</v>
          </cell>
          <cell r="B222" t="str">
            <v>Toyota pick-up</v>
          </cell>
          <cell r="C222" t="str">
            <v>MG</v>
          </cell>
          <cell r="D222" t="str">
            <v>D</v>
          </cell>
          <cell r="H222">
            <v>71</v>
          </cell>
        </row>
        <row r="223">
          <cell r="A223" t="str">
            <v>TREK</v>
          </cell>
          <cell r="B223" t="str">
            <v>Truck 8x4 + kraan</v>
          </cell>
          <cell r="C223" t="str">
            <v>MG</v>
          </cell>
          <cell r="D223" t="str">
            <v>D</v>
          </cell>
          <cell r="H223">
            <v>230</v>
          </cell>
        </row>
        <row r="224">
          <cell r="A224" t="str">
            <v>VR15K</v>
          </cell>
          <cell r="B224" t="str">
            <v>truck 15 T + kraan</v>
          </cell>
          <cell r="C224" t="str">
            <v>MG</v>
          </cell>
          <cell r="D224" t="str">
            <v>D</v>
          </cell>
          <cell r="H224">
            <v>199</v>
          </cell>
        </row>
        <row r="225">
          <cell r="A225" t="str">
            <v>VRMAZ</v>
          </cell>
          <cell r="B225" t="str">
            <v>Fuel truck</v>
          </cell>
          <cell r="C225" t="str">
            <v>MG</v>
          </cell>
          <cell r="D225" t="str">
            <v>D</v>
          </cell>
          <cell r="H225">
            <v>114</v>
          </cell>
        </row>
        <row r="226">
          <cell r="A226" t="str">
            <v>ZSTRA</v>
          </cell>
          <cell r="B226" t="str">
            <v>Zandblasting equipment 50 L</v>
          </cell>
          <cell r="C226" t="str">
            <v>MG</v>
          </cell>
          <cell r="D226" t="str">
            <v>D</v>
          </cell>
          <cell r="H226">
            <v>1</v>
          </cell>
        </row>
        <row r="227">
          <cell r="A227" t="str">
            <v>ALLU</v>
          </cell>
          <cell r="B227" t="str">
            <v>Allubucket</v>
          </cell>
          <cell r="C227" t="str">
            <v>MG</v>
          </cell>
          <cell r="D227" t="str">
            <v>D</v>
          </cell>
          <cell r="H227">
            <v>80</v>
          </cell>
        </row>
        <row r="228">
          <cell r="A228" t="str">
            <v>Padding</v>
          </cell>
          <cell r="B228" t="str">
            <v>Paddingmachine</v>
          </cell>
          <cell r="C228" t="str">
            <v>MG</v>
          </cell>
          <cell r="D228" t="str">
            <v>M</v>
          </cell>
          <cell r="H228">
            <v>21000</v>
          </cell>
        </row>
        <row r="229">
          <cell r="A229" t="str">
            <v>AGGREKO</v>
          </cell>
          <cell r="B229" t="str">
            <v>Droger Aggreko</v>
          </cell>
          <cell r="C229" t="str">
            <v>MG</v>
          </cell>
          <cell r="D229" t="str">
            <v>D</v>
          </cell>
          <cell r="H229">
            <v>1000</v>
          </cell>
        </row>
        <row r="230">
          <cell r="A230" t="str">
            <v>TRAGRKAR</v>
          </cell>
          <cell r="B230" t="str">
            <v>Tractor + dumper</v>
          </cell>
          <cell r="C230" t="str">
            <v>MG</v>
          </cell>
          <cell r="D230" t="str">
            <v>D</v>
          </cell>
          <cell r="H230">
            <v>440</v>
          </cell>
        </row>
        <row r="231">
          <cell r="A231" t="str">
            <v>HOGEDRUK</v>
          </cell>
          <cell r="B231" t="str">
            <v>Hogedrukwagen</v>
          </cell>
          <cell r="C231" t="str">
            <v>MG</v>
          </cell>
          <cell r="D231" t="str">
            <v>D</v>
          </cell>
          <cell r="H231">
            <v>1000</v>
          </cell>
        </row>
        <row r="232">
          <cell r="A232" t="str">
            <v>Selmers</v>
          </cell>
          <cell r="B232" t="str">
            <v>Investement Selmers</v>
          </cell>
          <cell r="C232" t="str">
            <v>MG</v>
          </cell>
          <cell r="D232" t="str">
            <v>ST</v>
          </cell>
          <cell r="H232">
            <v>250000</v>
          </cell>
        </row>
        <row r="233">
          <cell r="A233" t="str">
            <v>Selmers 2</v>
          </cell>
          <cell r="B233" t="str">
            <v>reselling Selmers after project to partners</v>
          </cell>
          <cell r="C233" t="str">
            <v>MG</v>
          </cell>
          <cell r="D233" t="str">
            <v>ST</v>
          </cell>
          <cell r="H233">
            <v>-250000</v>
          </cell>
        </row>
        <row r="234">
          <cell r="A234" t="str">
            <v>Selmers 3</v>
          </cell>
          <cell r="B234" t="str">
            <v>Spare parts Selmers</v>
          </cell>
          <cell r="C234" t="str">
            <v>MG</v>
          </cell>
          <cell r="D234" t="str">
            <v>ST</v>
          </cell>
          <cell r="H234">
            <v>30000</v>
          </cell>
        </row>
        <row r="235">
          <cell r="A235" t="str">
            <v>POMP</v>
          </cell>
          <cell r="B235" t="str">
            <v>Pumps</v>
          </cell>
          <cell r="C235" t="str">
            <v>MG</v>
          </cell>
          <cell r="D235" t="str">
            <v>ST</v>
          </cell>
          <cell r="H235">
            <v>20</v>
          </cell>
        </row>
        <row r="236">
          <cell r="A236" t="str">
            <v>Direct personeel</v>
          </cell>
        </row>
        <row r="237">
          <cell r="A237" t="str">
            <v>AS</v>
          </cell>
          <cell r="B237" t="str">
            <v>Coater</v>
          </cell>
          <cell r="C237" t="str">
            <v>PA</v>
          </cell>
          <cell r="D237" t="str">
            <v>D</v>
          </cell>
          <cell r="H237">
            <v>440</v>
          </cell>
        </row>
        <row r="238">
          <cell r="A238" t="str">
            <v>BE</v>
          </cell>
          <cell r="B238" t="str">
            <v>Bekister</v>
          </cell>
          <cell r="C238" t="str">
            <v>PA</v>
          </cell>
          <cell r="D238" t="str">
            <v>D</v>
          </cell>
          <cell r="H238">
            <v>396</v>
          </cell>
        </row>
        <row r="239">
          <cell r="A239" t="str">
            <v>CH</v>
          </cell>
          <cell r="B239" t="str">
            <v>Driver</v>
          </cell>
          <cell r="C239" t="str">
            <v>PA</v>
          </cell>
          <cell r="D239" t="str">
            <v>D</v>
          </cell>
          <cell r="H239">
            <v>473</v>
          </cell>
        </row>
        <row r="240">
          <cell r="A240" t="str">
            <v>GW</v>
          </cell>
          <cell r="B240" t="str">
            <v>Ground worker</v>
          </cell>
          <cell r="C240" t="str">
            <v>PA</v>
          </cell>
          <cell r="D240" t="str">
            <v>D</v>
          </cell>
          <cell r="H240">
            <v>110</v>
          </cell>
        </row>
        <row r="241">
          <cell r="A241" t="str">
            <v>HE</v>
          </cell>
          <cell r="B241" t="str">
            <v>Helper</v>
          </cell>
          <cell r="C241" t="str">
            <v>PA</v>
          </cell>
          <cell r="D241" t="str">
            <v>D</v>
          </cell>
          <cell r="H241">
            <v>396</v>
          </cell>
        </row>
        <row r="242">
          <cell r="A242" t="str">
            <v>LL</v>
          </cell>
          <cell r="B242" t="str">
            <v>Welder manual</v>
          </cell>
          <cell r="C242" t="str">
            <v>PA</v>
          </cell>
          <cell r="D242" t="str">
            <v>D</v>
          </cell>
          <cell r="H242">
            <v>594</v>
          </cell>
        </row>
        <row r="243">
          <cell r="A243" t="str">
            <v>LA</v>
          </cell>
          <cell r="B243" t="str">
            <v>welder automatic</v>
          </cell>
          <cell r="C243" t="str">
            <v>PA</v>
          </cell>
          <cell r="D243" t="str">
            <v>D</v>
          </cell>
          <cell r="H243">
            <v>550</v>
          </cell>
        </row>
        <row r="244">
          <cell r="A244" t="str">
            <v>MA</v>
          </cell>
          <cell r="B244" t="str">
            <v>Operator</v>
          </cell>
          <cell r="C244" t="str">
            <v>PA</v>
          </cell>
          <cell r="D244" t="str">
            <v>D</v>
          </cell>
          <cell r="H244">
            <v>473</v>
          </cell>
        </row>
        <row r="245">
          <cell r="A245" t="str">
            <v>ME</v>
          </cell>
          <cell r="B245" t="str">
            <v>Mechanic</v>
          </cell>
          <cell r="C245" t="str">
            <v>PA</v>
          </cell>
          <cell r="D245" t="str">
            <v>D</v>
          </cell>
          <cell r="H245">
            <v>528</v>
          </cell>
        </row>
        <row r="246">
          <cell r="A246" t="str">
            <v>MAG</v>
          </cell>
          <cell r="B246" t="str">
            <v>Store Keeper</v>
          </cell>
          <cell r="C246" t="str">
            <v>PA</v>
          </cell>
          <cell r="D246" t="str">
            <v>D</v>
          </cell>
          <cell r="H246">
            <v>528</v>
          </cell>
        </row>
        <row r="247">
          <cell r="A247" t="str">
            <v>P2</v>
          </cell>
          <cell r="B247" t="str">
            <v>Foreman</v>
          </cell>
          <cell r="C247" t="str">
            <v>PA</v>
          </cell>
          <cell r="D247" t="str">
            <v>D</v>
          </cell>
          <cell r="H247">
            <v>528</v>
          </cell>
        </row>
        <row r="248">
          <cell r="A248" t="str">
            <v>P3</v>
          </cell>
          <cell r="B248" t="str">
            <v>Foreman tie-in</v>
          </cell>
          <cell r="C248" t="str">
            <v>PA</v>
          </cell>
          <cell r="D248" t="str">
            <v>D</v>
          </cell>
          <cell r="H248">
            <v>594</v>
          </cell>
        </row>
        <row r="249">
          <cell r="A249" t="str">
            <v>PLO</v>
          </cell>
          <cell r="B249" t="str">
            <v>Bender</v>
          </cell>
          <cell r="C249" t="str">
            <v>PA</v>
          </cell>
          <cell r="D249" t="str">
            <v>D</v>
          </cell>
          <cell r="H249">
            <v>528</v>
          </cell>
        </row>
        <row r="250">
          <cell r="A250" t="str">
            <v>SB</v>
          </cell>
          <cell r="B250" t="str">
            <v>Sideboom-operator</v>
          </cell>
          <cell r="C250" t="str">
            <v>PA</v>
          </cell>
          <cell r="D250" t="str">
            <v>D</v>
          </cell>
          <cell r="H250">
            <v>473</v>
          </cell>
        </row>
        <row r="251">
          <cell r="A251" t="str">
            <v>SL</v>
          </cell>
          <cell r="B251" t="str">
            <v>grinder</v>
          </cell>
          <cell r="C251" t="str">
            <v>PA</v>
          </cell>
          <cell r="D251" t="str">
            <v>D</v>
          </cell>
          <cell r="H251">
            <v>440</v>
          </cell>
        </row>
        <row r="252">
          <cell r="A252" t="str">
            <v>Indirect personeel</v>
          </cell>
        </row>
        <row r="253">
          <cell r="A253" t="str">
            <v>AB</v>
          </cell>
          <cell r="B253" t="str">
            <v>Administrative Personel</v>
          </cell>
          <cell r="C253" t="str">
            <v>PB</v>
          </cell>
          <cell r="D253" t="str">
            <v>D</v>
          </cell>
          <cell r="H253">
            <v>485</v>
          </cell>
        </row>
        <row r="254">
          <cell r="A254" t="str">
            <v>CONST</v>
          </cell>
          <cell r="B254" t="str">
            <v>Bending Engineer</v>
          </cell>
          <cell r="C254" t="str">
            <v>PB</v>
          </cell>
          <cell r="D254" t="str">
            <v>D</v>
          </cell>
          <cell r="H254">
            <v>668</v>
          </cell>
        </row>
        <row r="255">
          <cell r="A255" t="str">
            <v>DO</v>
          </cell>
          <cell r="B255" t="str">
            <v>Liaison Officer</v>
          </cell>
          <cell r="C255" t="str">
            <v>PB</v>
          </cell>
          <cell r="D255" t="str">
            <v>D</v>
          </cell>
          <cell r="H255">
            <v>450</v>
          </cell>
        </row>
        <row r="256">
          <cell r="A256" t="str">
            <v>PM</v>
          </cell>
          <cell r="B256" t="str">
            <v>Project Manager</v>
          </cell>
          <cell r="C256" t="str">
            <v>PB</v>
          </cell>
          <cell r="D256" t="str">
            <v>D</v>
          </cell>
          <cell r="H256">
            <v>631</v>
          </cell>
        </row>
        <row r="257">
          <cell r="A257" t="str">
            <v>PL</v>
          </cell>
          <cell r="B257" t="str">
            <v>Construction Manager</v>
          </cell>
          <cell r="C257" t="str">
            <v>PB</v>
          </cell>
          <cell r="D257" t="str">
            <v>D</v>
          </cell>
          <cell r="H257">
            <v>510</v>
          </cell>
        </row>
        <row r="258">
          <cell r="A258" t="str">
            <v>QA</v>
          </cell>
          <cell r="B258" t="str">
            <v>Quality Assurance Manager</v>
          </cell>
          <cell r="C258" t="str">
            <v>PB</v>
          </cell>
          <cell r="D258" t="str">
            <v>D</v>
          </cell>
          <cell r="H258">
            <v>631</v>
          </cell>
        </row>
        <row r="259">
          <cell r="A259" t="str">
            <v>QA/QC</v>
          </cell>
          <cell r="B259" t="str">
            <v>QA-QC Inspector</v>
          </cell>
          <cell r="C259" t="str">
            <v>PB</v>
          </cell>
          <cell r="D259" t="str">
            <v>D</v>
          </cell>
          <cell r="H259">
            <v>510</v>
          </cell>
        </row>
        <row r="260">
          <cell r="A260" t="str">
            <v>VGM</v>
          </cell>
          <cell r="B260" t="str">
            <v>Safety Inspector</v>
          </cell>
          <cell r="C260" t="str">
            <v>PB</v>
          </cell>
          <cell r="D260" t="str">
            <v>D</v>
          </cell>
          <cell r="H260">
            <v>510</v>
          </cell>
        </row>
        <row r="261">
          <cell r="A261" t="str">
            <v>VGM2</v>
          </cell>
          <cell r="B261" t="str">
            <v>Safety Inspector 2</v>
          </cell>
          <cell r="C261" t="str">
            <v>PB</v>
          </cell>
          <cell r="D261" t="str">
            <v>D</v>
          </cell>
          <cell r="H261">
            <v>580</v>
          </cell>
        </row>
        <row r="262">
          <cell r="A262" t="str">
            <v>LASIR</v>
          </cell>
          <cell r="B262" t="str">
            <v>Welding Engineer</v>
          </cell>
          <cell r="C262" t="str">
            <v>PB</v>
          </cell>
          <cell r="D262" t="str">
            <v>D</v>
          </cell>
          <cell r="H262">
            <v>510</v>
          </cell>
        </row>
        <row r="263">
          <cell r="A263" t="str">
            <v>WV</v>
          </cell>
          <cell r="B263" t="str">
            <v>Work Preparator</v>
          </cell>
          <cell r="C263" t="str">
            <v>PB</v>
          </cell>
          <cell r="D263" t="str">
            <v>D</v>
          </cell>
          <cell r="H263">
            <v>485</v>
          </cell>
        </row>
        <row r="264">
          <cell r="A264" t="str">
            <v>TOPO</v>
          </cell>
          <cell r="B264" t="str">
            <v>Topo</v>
          </cell>
          <cell r="C264" t="str">
            <v>PB</v>
          </cell>
          <cell r="D264" t="str">
            <v>D</v>
          </cell>
          <cell r="H264">
            <v>668</v>
          </cell>
        </row>
        <row r="265">
          <cell r="A265" t="str">
            <v>Kabel</v>
          </cell>
          <cell r="B265" t="str">
            <v>Third Party Utilities</v>
          </cell>
          <cell r="C265" t="str">
            <v>PB</v>
          </cell>
          <cell r="D265" t="str">
            <v>D</v>
          </cell>
          <cell r="H265">
            <v>420</v>
          </cell>
        </row>
        <row r="266">
          <cell r="A266" t="str">
            <v>Laspijp</v>
          </cell>
          <cell r="B266" t="str">
            <v>Welding book</v>
          </cell>
          <cell r="C266" t="str">
            <v>PB</v>
          </cell>
          <cell r="D266" t="str">
            <v>D</v>
          </cell>
          <cell r="H266">
            <v>485</v>
          </cell>
        </row>
        <row r="267">
          <cell r="A267" t="str">
            <v>CC</v>
          </cell>
          <cell r="B267" t="str">
            <v>Cost-Controle</v>
          </cell>
          <cell r="C267" t="str">
            <v>PB</v>
          </cell>
          <cell r="D267" t="str">
            <v>D</v>
          </cell>
          <cell r="H267">
            <v>485</v>
          </cell>
        </row>
        <row r="268">
          <cell r="A268" t="str">
            <v>CM</v>
          </cell>
          <cell r="B268" t="str">
            <v>Contract-manager</v>
          </cell>
          <cell r="C268" t="str">
            <v>PB</v>
          </cell>
          <cell r="D268" t="str">
            <v>D</v>
          </cell>
          <cell r="H268">
            <v>510</v>
          </cell>
        </row>
        <row r="269">
          <cell r="A269" t="str">
            <v>WL</v>
          </cell>
          <cell r="B269" t="str">
            <v>Site Manager</v>
          </cell>
          <cell r="C269" t="str">
            <v>PB</v>
          </cell>
          <cell r="D269" t="str">
            <v>D</v>
          </cell>
          <cell r="H269">
            <v>510</v>
          </cell>
        </row>
        <row r="270">
          <cell r="A270" t="str">
            <v>WL lijn</v>
          </cell>
          <cell r="B270" t="str">
            <v>Site Manager</v>
          </cell>
          <cell r="C270" t="str">
            <v>PB</v>
          </cell>
          <cell r="D270" t="str">
            <v>D</v>
          </cell>
          <cell r="H270">
            <v>510</v>
          </cell>
        </row>
        <row r="271">
          <cell r="A271" t="str">
            <v>PL Stat</v>
          </cell>
          <cell r="B271" t="str">
            <v>Construction Manager Station</v>
          </cell>
          <cell r="C271" t="str">
            <v>PB</v>
          </cell>
          <cell r="D271" t="str">
            <v>D</v>
          </cell>
          <cell r="H271">
            <v>510</v>
          </cell>
        </row>
        <row r="274">
          <cell r="I274">
            <v>0</v>
          </cell>
          <cell r="J274">
            <v>0</v>
          </cell>
          <cell r="K274">
            <v>0</v>
          </cell>
          <cell r="L274">
            <v>1765</v>
          </cell>
          <cell r="M274">
            <v>0</v>
          </cell>
          <cell r="N274">
            <v>0</v>
          </cell>
          <cell r="O274">
            <v>0</v>
          </cell>
          <cell r="P274">
            <v>96.56</v>
          </cell>
        </row>
        <row r="275">
          <cell r="I275">
            <v>0</v>
          </cell>
          <cell r="J275">
            <v>0</v>
          </cell>
          <cell r="K275">
            <v>0</v>
          </cell>
          <cell r="L275">
            <v>2500</v>
          </cell>
          <cell r="M275">
            <v>0</v>
          </cell>
          <cell r="N275">
            <v>0</v>
          </cell>
          <cell r="O275">
            <v>0</v>
          </cell>
          <cell r="P275">
            <v>136.78</v>
          </cell>
        </row>
        <row r="277"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I278">
            <v>0</v>
          </cell>
          <cell r="J278">
            <v>0</v>
          </cell>
          <cell r="K278">
            <v>0</v>
          </cell>
          <cell r="L278">
            <v>40340</v>
          </cell>
          <cell r="M278">
            <v>0</v>
          </cell>
          <cell r="N278">
            <v>0</v>
          </cell>
          <cell r="O278">
            <v>0</v>
          </cell>
          <cell r="P278">
            <v>2207.1</v>
          </cell>
        </row>
        <row r="291"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</row>
        <row r="292">
          <cell r="I292">
            <v>0</v>
          </cell>
          <cell r="J292">
            <v>0</v>
          </cell>
          <cell r="K292">
            <v>0</v>
          </cell>
          <cell r="L292">
            <v>7665</v>
          </cell>
          <cell r="M292">
            <v>0</v>
          </cell>
          <cell r="N292">
            <v>0</v>
          </cell>
          <cell r="O292">
            <v>0</v>
          </cell>
          <cell r="P292">
            <v>419.35</v>
          </cell>
        </row>
        <row r="293"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</row>
        <row r="294"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</row>
        <row r="295"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</row>
        <row r="296"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</row>
        <row r="297"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</row>
        <row r="298"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</row>
        <row r="299">
          <cell r="I299">
            <v>0</v>
          </cell>
          <cell r="J299">
            <v>0</v>
          </cell>
          <cell r="K299">
            <v>0</v>
          </cell>
          <cell r="L299">
            <v>1714</v>
          </cell>
          <cell r="M299">
            <v>0</v>
          </cell>
          <cell r="N299">
            <v>0</v>
          </cell>
          <cell r="O299">
            <v>0</v>
          </cell>
          <cell r="P299">
            <v>93.8</v>
          </cell>
        </row>
        <row r="300">
          <cell r="I300">
            <v>0</v>
          </cell>
          <cell r="J300">
            <v>0</v>
          </cell>
          <cell r="K300">
            <v>0</v>
          </cell>
          <cell r="L300">
            <v>282</v>
          </cell>
          <cell r="M300">
            <v>0</v>
          </cell>
          <cell r="N300">
            <v>0</v>
          </cell>
          <cell r="O300">
            <v>0</v>
          </cell>
          <cell r="P300">
            <v>15.45</v>
          </cell>
        </row>
        <row r="301">
          <cell r="I301">
            <v>0</v>
          </cell>
          <cell r="J301">
            <v>0</v>
          </cell>
          <cell r="K301">
            <v>0</v>
          </cell>
          <cell r="L301">
            <v>4034</v>
          </cell>
          <cell r="M301">
            <v>0</v>
          </cell>
          <cell r="N301">
            <v>0</v>
          </cell>
          <cell r="O301">
            <v>0</v>
          </cell>
          <cell r="P301">
            <v>220.71</v>
          </cell>
        </row>
        <row r="302"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</row>
        <row r="303"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</row>
        <row r="304">
          <cell r="I304">
            <v>0</v>
          </cell>
          <cell r="J304">
            <v>0</v>
          </cell>
          <cell r="K304">
            <v>0</v>
          </cell>
          <cell r="L304">
            <v>273</v>
          </cell>
          <cell r="M304">
            <v>0</v>
          </cell>
          <cell r="N304">
            <v>0</v>
          </cell>
          <cell r="O304">
            <v>0</v>
          </cell>
          <cell r="P304">
            <v>14.94</v>
          </cell>
        </row>
        <row r="306">
          <cell r="I306">
            <v>0</v>
          </cell>
          <cell r="J306">
            <v>0</v>
          </cell>
          <cell r="K306">
            <v>0</v>
          </cell>
          <cell r="L306">
            <v>4034</v>
          </cell>
          <cell r="M306">
            <v>0</v>
          </cell>
          <cell r="N306">
            <v>0</v>
          </cell>
          <cell r="O306">
            <v>0</v>
          </cell>
          <cell r="P306">
            <v>220.71</v>
          </cell>
        </row>
        <row r="307">
          <cell r="I307">
            <v>0</v>
          </cell>
          <cell r="J307">
            <v>0</v>
          </cell>
          <cell r="K307">
            <v>0</v>
          </cell>
          <cell r="L307">
            <v>60510</v>
          </cell>
          <cell r="M307">
            <v>0</v>
          </cell>
          <cell r="N307">
            <v>0</v>
          </cell>
          <cell r="O307">
            <v>0</v>
          </cell>
          <cell r="P307">
            <v>3310.65</v>
          </cell>
        </row>
        <row r="308">
          <cell r="I308">
            <v>0</v>
          </cell>
          <cell r="J308">
            <v>0</v>
          </cell>
          <cell r="K308">
            <v>0</v>
          </cell>
          <cell r="L308">
            <v>2420</v>
          </cell>
          <cell r="M308">
            <v>0</v>
          </cell>
          <cell r="N308">
            <v>0</v>
          </cell>
          <cell r="O308">
            <v>0</v>
          </cell>
          <cell r="P308">
            <v>132.43</v>
          </cell>
        </row>
        <row r="309">
          <cell r="I309">
            <v>0</v>
          </cell>
          <cell r="J309">
            <v>0</v>
          </cell>
          <cell r="K309">
            <v>0</v>
          </cell>
          <cell r="L309">
            <v>121</v>
          </cell>
          <cell r="M309">
            <v>0</v>
          </cell>
          <cell r="N309">
            <v>0</v>
          </cell>
          <cell r="O309">
            <v>0</v>
          </cell>
          <cell r="P309">
            <v>6.62</v>
          </cell>
        </row>
        <row r="310">
          <cell r="I310">
            <v>0</v>
          </cell>
          <cell r="J310">
            <v>0</v>
          </cell>
          <cell r="K310">
            <v>0</v>
          </cell>
          <cell r="L310">
            <v>2420</v>
          </cell>
          <cell r="M310">
            <v>0</v>
          </cell>
          <cell r="N310">
            <v>0</v>
          </cell>
          <cell r="O310">
            <v>0</v>
          </cell>
          <cell r="P310">
            <v>132.43</v>
          </cell>
        </row>
        <row r="316">
          <cell r="L316" t="str">
            <v>NVT</v>
          </cell>
          <cell r="P316" t="str">
            <v>NVT</v>
          </cell>
        </row>
        <row r="317">
          <cell r="L317" t="str">
            <v>NVT</v>
          </cell>
          <cell r="P317" t="str">
            <v>NVT</v>
          </cell>
        </row>
        <row r="318">
          <cell r="I318">
            <v>0</v>
          </cell>
          <cell r="J318">
            <v>0</v>
          </cell>
          <cell r="K318">
            <v>0</v>
          </cell>
          <cell r="L318">
            <v>6938</v>
          </cell>
          <cell r="M318">
            <v>0</v>
          </cell>
          <cell r="N318">
            <v>0</v>
          </cell>
          <cell r="O318">
            <v>0</v>
          </cell>
          <cell r="P318">
            <v>379.62</v>
          </cell>
        </row>
        <row r="319">
          <cell r="I319">
            <v>0</v>
          </cell>
          <cell r="J319">
            <v>0</v>
          </cell>
          <cell r="K319">
            <v>0</v>
          </cell>
          <cell r="L319">
            <v>645</v>
          </cell>
          <cell r="M319">
            <v>0</v>
          </cell>
          <cell r="N319">
            <v>0</v>
          </cell>
          <cell r="O319">
            <v>0</v>
          </cell>
          <cell r="P319">
            <v>35.31</v>
          </cell>
        </row>
        <row r="321">
          <cell r="I321">
            <v>0</v>
          </cell>
          <cell r="J321">
            <v>0</v>
          </cell>
          <cell r="K321">
            <v>0</v>
          </cell>
          <cell r="L321">
            <v>161</v>
          </cell>
          <cell r="M321">
            <v>0</v>
          </cell>
          <cell r="N321">
            <v>0</v>
          </cell>
          <cell r="O321">
            <v>0</v>
          </cell>
          <cell r="P321">
            <v>8.83</v>
          </cell>
        </row>
        <row r="322">
          <cell r="I322">
            <v>0</v>
          </cell>
          <cell r="J322">
            <v>0</v>
          </cell>
          <cell r="K322">
            <v>0</v>
          </cell>
          <cell r="L322">
            <v>1251</v>
          </cell>
          <cell r="M322">
            <v>0</v>
          </cell>
          <cell r="N322">
            <v>0</v>
          </cell>
          <cell r="O322">
            <v>0</v>
          </cell>
          <cell r="P322">
            <v>68.42</v>
          </cell>
        </row>
        <row r="323">
          <cell r="I323">
            <v>0</v>
          </cell>
          <cell r="J323">
            <v>0</v>
          </cell>
          <cell r="K323">
            <v>0</v>
          </cell>
          <cell r="L323">
            <v>7221</v>
          </cell>
          <cell r="M323">
            <v>0</v>
          </cell>
          <cell r="N323">
            <v>0</v>
          </cell>
          <cell r="O323">
            <v>0</v>
          </cell>
          <cell r="P323">
            <v>395.07</v>
          </cell>
        </row>
        <row r="324">
          <cell r="I324">
            <v>0</v>
          </cell>
          <cell r="J324">
            <v>0</v>
          </cell>
          <cell r="K324">
            <v>0</v>
          </cell>
          <cell r="L324">
            <v>6858</v>
          </cell>
          <cell r="M324">
            <v>0</v>
          </cell>
          <cell r="N324">
            <v>0</v>
          </cell>
          <cell r="O324">
            <v>0</v>
          </cell>
          <cell r="P324">
            <v>375.21</v>
          </cell>
        </row>
        <row r="325">
          <cell r="I325">
            <v>0</v>
          </cell>
          <cell r="J325">
            <v>0</v>
          </cell>
          <cell r="K325">
            <v>0</v>
          </cell>
          <cell r="L325">
            <v>9278</v>
          </cell>
          <cell r="M325">
            <v>0</v>
          </cell>
          <cell r="N325">
            <v>0</v>
          </cell>
          <cell r="O325">
            <v>0</v>
          </cell>
          <cell r="P325">
            <v>507.63</v>
          </cell>
        </row>
        <row r="326">
          <cell r="I326" t="e">
            <v>#REF!</v>
          </cell>
          <cell r="J326" t="e">
            <v>#REF!</v>
          </cell>
          <cell r="K326" t="e">
            <v>#REF!</v>
          </cell>
          <cell r="L326" t="e">
            <v>#REF!</v>
          </cell>
          <cell r="M326" t="e">
            <v>#REF!</v>
          </cell>
          <cell r="N326" t="e">
            <v>#REF!</v>
          </cell>
          <cell r="O326" t="e">
            <v>#REF!</v>
          </cell>
          <cell r="P326" t="e">
            <v>#REF!</v>
          </cell>
        </row>
        <row r="327">
          <cell r="I327">
            <v>0</v>
          </cell>
          <cell r="J327">
            <v>0</v>
          </cell>
          <cell r="K327">
            <v>0</v>
          </cell>
          <cell r="L327">
            <v>10488</v>
          </cell>
          <cell r="M327">
            <v>0</v>
          </cell>
          <cell r="N327">
            <v>0</v>
          </cell>
          <cell r="O327">
            <v>0</v>
          </cell>
          <cell r="P327">
            <v>573.85</v>
          </cell>
        </row>
        <row r="328">
          <cell r="I328">
            <v>0</v>
          </cell>
          <cell r="J328">
            <v>0</v>
          </cell>
          <cell r="K328">
            <v>0</v>
          </cell>
          <cell r="L328">
            <v>11699</v>
          </cell>
          <cell r="M328">
            <v>0</v>
          </cell>
          <cell r="N328">
            <v>0</v>
          </cell>
          <cell r="O328">
            <v>0</v>
          </cell>
          <cell r="P328">
            <v>640.05999999999995</v>
          </cell>
        </row>
        <row r="330">
          <cell r="I330">
            <v>0</v>
          </cell>
          <cell r="J330">
            <v>0</v>
          </cell>
          <cell r="K330">
            <v>0</v>
          </cell>
          <cell r="L330">
            <v>16136</v>
          </cell>
          <cell r="M330">
            <v>0</v>
          </cell>
          <cell r="N330">
            <v>0</v>
          </cell>
          <cell r="O330">
            <v>0</v>
          </cell>
          <cell r="P330">
            <v>882.84</v>
          </cell>
        </row>
        <row r="331">
          <cell r="I331">
            <v>0</v>
          </cell>
          <cell r="J331">
            <v>0</v>
          </cell>
          <cell r="K331">
            <v>0</v>
          </cell>
          <cell r="L331">
            <v>4639</v>
          </cell>
          <cell r="M331">
            <v>0</v>
          </cell>
          <cell r="N331">
            <v>0</v>
          </cell>
          <cell r="O331">
            <v>0</v>
          </cell>
          <cell r="P331">
            <v>253.82</v>
          </cell>
        </row>
        <row r="332">
          <cell r="I332">
            <v>0</v>
          </cell>
          <cell r="J332">
            <v>0</v>
          </cell>
          <cell r="K332">
            <v>0</v>
          </cell>
          <cell r="L332">
            <v>3348</v>
          </cell>
          <cell r="M332">
            <v>0</v>
          </cell>
          <cell r="N332">
            <v>0</v>
          </cell>
          <cell r="O332">
            <v>0</v>
          </cell>
          <cell r="P332">
            <v>183.19</v>
          </cell>
        </row>
        <row r="333">
          <cell r="I333">
            <v>0</v>
          </cell>
          <cell r="J333">
            <v>0</v>
          </cell>
          <cell r="K333">
            <v>0</v>
          </cell>
          <cell r="L333">
            <v>1412</v>
          </cell>
          <cell r="M333">
            <v>0</v>
          </cell>
          <cell r="N333">
            <v>0</v>
          </cell>
          <cell r="O333">
            <v>0</v>
          </cell>
          <cell r="P333">
            <v>77.25</v>
          </cell>
        </row>
        <row r="334">
          <cell r="I334">
            <v>0</v>
          </cell>
          <cell r="J334">
            <v>0</v>
          </cell>
          <cell r="K334">
            <v>0</v>
          </cell>
          <cell r="L334">
            <v>807</v>
          </cell>
          <cell r="M334">
            <v>0</v>
          </cell>
          <cell r="N334">
            <v>0</v>
          </cell>
          <cell r="O334">
            <v>0</v>
          </cell>
          <cell r="P334">
            <v>44.14</v>
          </cell>
        </row>
        <row r="335">
          <cell r="I335">
            <v>0</v>
          </cell>
          <cell r="J335">
            <v>0</v>
          </cell>
          <cell r="K335">
            <v>0</v>
          </cell>
          <cell r="L335">
            <v>4841</v>
          </cell>
          <cell r="M335">
            <v>0</v>
          </cell>
          <cell r="N335">
            <v>0</v>
          </cell>
          <cell r="O335">
            <v>0</v>
          </cell>
          <cell r="P335">
            <v>264.85000000000002</v>
          </cell>
        </row>
        <row r="336">
          <cell r="I336">
            <v>0</v>
          </cell>
          <cell r="J336">
            <v>0</v>
          </cell>
          <cell r="K336">
            <v>0</v>
          </cell>
          <cell r="L336">
            <v>7221</v>
          </cell>
          <cell r="M336">
            <v>0</v>
          </cell>
          <cell r="N336">
            <v>0</v>
          </cell>
          <cell r="O336">
            <v>0</v>
          </cell>
          <cell r="P336">
            <v>395.07</v>
          </cell>
        </row>
        <row r="337">
          <cell r="I337">
            <v>0</v>
          </cell>
          <cell r="J337">
            <v>0</v>
          </cell>
          <cell r="K337">
            <v>0</v>
          </cell>
          <cell r="L337">
            <v>403</v>
          </cell>
          <cell r="M337">
            <v>0</v>
          </cell>
          <cell r="N337">
            <v>0</v>
          </cell>
          <cell r="O337">
            <v>0</v>
          </cell>
          <cell r="P337">
            <v>22.07</v>
          </cell>
        </row>
        <row r="338">
          <cell r="I338" t="e">
            <v>#REF!</v>
          </cell>
          <cell r="J338" t="e">
            <v>#REF!</v>
          </cell>
          <cell r="K338" t="e">
            <v>#REF!</v>
          </cell>
          <cell r="L338" t="e">
            <v>#REF!</v>
          </cell>
          <cell r="M338" t="e">
            <v>#REF!</v>
          </cell>
          <cell r="N338" t="e">
            <v>#REF!</v>
          </cell>
          <cell r="O338" t="e">
            <v>#REF!</v>
          </cell>
          <cell r="P338" t="e">
            <v>#REF!</v>
          </cell>
        </row>
        <row r="339">
          <cell r="I339">
            <v>0</v>
          </cell>
          <cell r="J339">
            <v>0</v>
          </cell>
          <cell r="K339">
            <v>0</v>
          </cell>
          <cell r="L339">
            <v>4034</v>
          </cell>
          <cell r="M339">
            <v>0</v>
          </cell>
          <cell r="N339">
            <v>0</v>
          </cell>
          <cell r="O339">
            <v>0</v>
          </cell>
          <cell r="P339">
            <v>220.71</v>
          </cell>
        </row>
        <row r="340">
          <cell r="I340">
            <v>0</v>
          </cell>
          <cell r="J340">
            <v>0</v>
          </cell>
          <cell r="K340">
            <v>0</v>
          </cell>
          <cell r="L340">
            <v>9843</v>
          </cell>
          <cell r="M340">
            <v>0</v>
          </cell>
          <cell r="N340">
            <v>0</v>
          </cell>
          <cell r="O340">
            <v>0</v>
          </cell>
          <cell r="P340">
            <v>538.53</v>
          </cell>
        </row>
        <row r="341">
          <cell r="I341">
            <v>0</v>
          </cell>
          <cell r="J341">
            <v>0</v>
          </cell>
          <cell r="K341">
            <v>0</v>
          </cell>
          <cell r="L341">
            <v>7100</v>
          </cell>
          <cell r="M341">
            <v>0</v>
          </cell>
          <cell r="N341">
            <v>0</v>
          </cell>
          <cell r="O341">
            <v>0</v>
          </cell>
          <cell r="P341">
            <v>388.45</v>
          </cell>
        </row>
        <row r="342">
          <cell r="I342" t="e">
            <v>#REF!</v>
          </cell>
          <cell r="J342" t="e">
            <v>#REF!</v>
          </cell>
          <cell r="K342" t="e">
            <v>#REF!</v>
          </cell>
          <cell r="L342" t="e">
            <v>#REF!</v>
          </cell>
          <cell r="M342" t="e">
            <v>#REF!</v>
          </cell>
          <cell r="N342" t="e">
            <v>#REF!</v>
          </cell>
          <cell r="O342" t="e">
            <v>#REF!</v>
          </cell>
          <cell r="P342" t="e">
            <v>#REF!</v>
          </cell>
        </row>
        <row r="343">
          <cell r="I343" t="e">
            <v>#REF!</v>
          </cell>
          <cell r="J343" t="e">
            <v>#REF!</v>
          </cell>
          <cell r="K343" t="e">
            <v>#REF!</v>
          </cell>
          <cell r="L343" t="e">
            <v>#REF!</v>
          </cell>
          <cell r="M343" t="e">
            <v>#REF!</v>
          </cell>
          <cell r="N343" t="e">
            <v>#REF!</v>
          </cell>
          <cell r="O343" t="e">
            <v>#REF!</v>
          </cell>
          <cell r="P343" t="e">
            <v>#REF!</v>
          </cell>
        </row>
        <row r="344">
          <cell r="I344" t="e">
            <v>#REF!</v>
          </cell>
          <cell r="J344" t="e">
            <v>#REF!</v>
          </cell>
          <cell r="K344" t="e">
            <v>#REF!</v>
          </cell>
          <cell r="L344" t="e">
            <v>#REF!</v>
          </cell>
          <cell r="M344" t="e">
            <v>#REF!</v>
          </cell>
          <cell r="N344" t="e">
            <v>#REF!</v>
          </cell>
          <cell r="O344" t="e">
            <v>#REF!</v>
          </cell>
          <cell r="P344" t="e">
            <v>#REF!</v>
          </cell>
        </row>
      </sheetData>
      <sheetData sheetId="2" refreshError="1"/>
      <sheetData sheetId="3">
        <row r="13">
          <cell r="D13" t="str">
            <v>bp1</v>
          </cell>
          <cell r="E13" t="str">
            <v>bp1omschr</v>
          </cell>
          <cell r="F13" t="str">
            <v>b</v>
          </cell>
          <cell r="G13">
            <v>1</v>
          </cell>
          <cell r="H13" t="str">
            <v>wk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</row>
        <row r="15"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</row>
        <row r="22"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</row>
        <row r="24"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I25">
            <v>0</v>
          </cell>
          <cell r="J25">
            <v>0</v>
          </cell>
          <cell r="K25">
            <v>0</v>
          </cell>
          <cell r="N25">
            <v>0</v>
          </cell>
          <cell r="R25">
            <v>0</v>
          </cell>
          <cell r="S25">
            <v>0</v>
          </cell>
          <cell r="U25">
            <v>0</v>
          </cell>
          <cell r="W25">
            <v>0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Informations"/>
      <sheetName val="Ressources"/>
      <sheetName val="Services Généraux"/>
      <sheetName val="Maintenance"/>
      <sheetName val="Piquetage"/>
      <sheetName val="Piste"/>
      <sheetName val="Bardage"/>
      <sheetName val="Cintrage"/>
      <sheetName val="Soudure"/>
      <sheetName val="Raccts"/>
      <sheetName val="Revêt."/>
      <sheetName val="Tranchée"/>
      <sheetName val="Pose"/>
      <sheetName val="Remblai"/>
      <sheetName val="Traversées CO"/>
      <sheetName val="Traversées non CO"/>
      <sheetName val="Cours d eau"/>
      <sheetName val="Essais"/>
      <sheetName val="Rem. état"/>
      <sheetName val="Fascinage"/>
      <sheetName val="Forfaits"/>
      <sheetName val="Fibre Optique"/>
      <sheetName val="Nivelle"/>
      <sheetName val="PS Biriatou"/>
      <sheetName val="RECAPEQ"/>
      <sheetName val="Prix de revient"/>
      <sheetName val="Bordereau"/>
      <sheetName val="Prix de vente"/>
      <sheetName val="Annexe 01"/>
      <sheetName val="Planning"/>
      <sheetName val="Trésorerie"/>
    </sheetNames>
    <sheetDataSet>
      <sheetData sheetId="0" refreshError="1">
        <row r="20">
          <cell r="H20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.xml><?xml version="1.0" encoding="utf-8"?>
<externalLink xmlns="http://purl.oclc.org/ooxml/spreadsheetml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purl.oclc.org/ooxml/officeDocument/relationships" r:id="rId1">
    <sheetNames>
      <sheetName val="werkbegroting"/>
      <sheetName val="bonnen"/>
    </sheetNames>
    <sheetDataSet>
      <sheetData sheetId="0"/>
      <sheetData sheetId="1"/>
    </sheetDataSet>
  </externalBook>
</externalLink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8582-CF3F-48C4-AA24-E6C84700CBF5}">
  <sheetPr codeName="Sheet9">
    <tabColor theme="9" tint="0.39997558519241921"/>
    <pageSetUpPr fitToPage="1"/>
  </sheetPr>
  <dimension ref="A1:H209"/>
  <sheetViews>
    <sheetView showZeros="0" zoomScale="70" zoomScaleNormal="70" workbookViewId="0">
      <pane ySplit="2" topLeftCell="A28" activePane="bottomLeft" state="frozen"/>
      <selection activeCell="A16" sqref="A16"/>
      <selection pane="bottomLeft" activeCell="O83" sqref="O83"/>
    </sheetView>
  </sheetViews>
  <sheetFormatPr baseColWidth="10" defaultColWidth="9.5" defaultRowHeight="14" outlineLevelRow="1"/>
  <cols>
    <col min="1" max="1" width="20.33203125" style="48" customWidth="1"/>
    <col min="2" max="2" width="28" style="35" customWidth="1"/>
    <col min="3" max="3" width="55.5" style="35" bestFit="1" customWidth="1"/>
    <col min="4" max="4" width="61.5" style="3" customWidth="1"/>
    <col min="5" max="5" width="21.5" style="2" customWidth="1"/>
    <col min="6" max="6" width="28" style="36" bestFit="1" customWidth="1"/>
    <col min="7" max="7" width="16.5" style="37" customWidth="1"/>
    <col min="8" max="8" width="16.5" style="38" customWidth="1"/>
    <col min="9" max="16384" width="9.5" style="3"/>
  </cols>
  <sheetData>
    <row r="1" spans="1:8" s="25" customFormat="1" ht="60" customHeight="1" thickBot="1">
      <c r="A1" s="53"/>
      <c r="B1" s="54"/>
      <c r="C1" s="55"/>
      <c r="D1" s="22"/>
      <c r="E1" s="23"/>
      <c r="F1" s="24"/>
      <c r="G1" s="24"/>
      <c r="H1" s="24"/>
    </row>
    <row r="2" spans="1:8" s="28" customFormat="1" ht="33" thickBot="1">
      <c r="A2" s="52" t="s">
        <v>36</v>
      </c>
      <c r="B2" s="26" t="s">
        <v>4</v>
      </c>
      <c r="C2" s="26" t="s">
        <v>5</v>
      </c>
      <c r="D2" s="26" t="s">
        <v>5</v>
      </c>
      <c r="E2" s="26" t="s">
        <v>6</v>
      </c>
      <c r="F2" s="27" t="s">
        <v>7</v>
      </c>
      <c r="G2" s="26" t="s">
        <v>8</v>
      </c>
      <c r="H2" s="26" t="s">
        <v>9</v>
      </c>
    </row>
    <row r="3" spans="1:8" ht="15" customHeight="1">
      <c r="G3" s="32">
        <f>SUMIF($I$2:$XB$2,"Jours facturé",I276:XB276)</f>
        <v>0</v>
      </c>
      <c r="H3" s="33">
        <f>F3*G3</f>
        <v>0</v>
      </c>
    </row>
    <row r="5" spans="1:8" ht="14.25" customHeight="1"/>
    <row r="6" spans="1:8">
      <c r="A6" s="49"/>
      <c r="B6" s="29"/>
      <c r="C6" s="3"/>
      <c r="E6" s="3"/>
      <c r="F6" s="3"/>
      <c r="G6" s="3"/>
      <c r="H6" s="3"/>
    </row>
    <row r="7" spans="1:8">
      <c r="A7" s="49"/>
      <c r="B7" s="29"/>
      <c r="C7" s="3"/>
      <c r="E7" s="3"/>
      <c r="F7" s="3"/>
      <c r="G7" s="3"/>
      <c r="H7" s="3"/>
    </row>
    <row r="8" spans="1:8">
      <c r="C8" s="3"/>
      <c r="E8" s="3"/>
      <c r="F8" s="3"/>
      <c r="G8" s="3"/>
      <c r="H8" s="3"/>
    </row>
    <row r="9" spans="1:8">
      <c r="C9" s="3"/>
      <c r="E9" s="3"/>
      <c r="F9" s="3"/>
      <c r="G9" s="3"/>
      <c r="H9" s="3"/>
    </row>
    <row r="10" spans="1:8">
      <c r="C10" s="3"/>
      <c r="E10" s="3"/>
      <c r="F10" s="3"/>
      <c r="G10" s="3"/>
      <c r="H10" s="3"/>
    </row>
    <row r="11" spans="1:8">
      <c r="C11" s="3"/>
      <c r="E11" s="3"/>
      <c r="F11" s="3"/>
      <c r="G11" s="3"/>
      <c r="H11" s="3"/>
    </row>
    <row r="12" spans="1:8">
      <c r="C12" s="3"/>
      <c r="E12" s="3"/>
      <c r="F12" s="3"/>
      <c r="G12" s="3"/>
      <c r="H12" s="3"/>
    </row>
    <row r="13" spans="1:8">
      <c r="C13" s="3"/>
      <c r="E13" s="3"/>
      <c r="F13" s="3"/>
      <c r="G13" s="3"/>
      <c r="H13" s="3"/>
    </row>
    <row r="14" spans="1:8">
      <c r="C14" s="3"/>
      <c r="E14" s="3"/>
      <c r="F14" s="3"/>
      <c r="G14" s="3"/>
      <c r="H14" s="3"/>
    </row>
    <row r="15" spans="1:8">
      <c r="C15" s="3"/>
      <c r="E15" s="3"/>
      <c r="F15" s="3"/>
      <c r="G15" s="3"/>
      <c r="H15" s="3"/>
    </row>
    <row r="16" spans="1:8">
      <c r="C16" s="3"/>
      <c r="E16" s="3"/>
      <c r="F16" s="3"/>
      <c r="G16" s="3"/>
      <c r="H16" s="3"/>
    </row>
    <row r="17" spans="3:8">
      <c r="C17" s="3"/>
      <c r="E17" s="3"/>
      <c r="F17" s="3"/>
      <c r="G17" s="3"/>
      <c r="H17" s="3"/>
    </row>
    <row r="18" spans="3:8">
      <c r="C18" s="3"/>
      <c r="E18" s="3"/>
      <c r="F18" s="3"/>
      <c r="G18" s="3"/>
      <c r="H18" s="3"/>
    </row>
    <row r="19" spans="3:8">
      <c r="C19" s="3"/>
      <c r="E19" s="3"/>
      <c r="F19" s="3"/>
      <c r="G19" s="3"/>
      <c r="H19" s="3"/>
    </row>
    <row r="20" spans="3:8">
      <c r="C20" s="3"/>
      <c r="E20" s="3"/>
      <c r="F20" s="3"/>
      <c r="G20" s="3"/>
      <c r="H20" s="3"/>
    </row>
    <row r="21" spans="3:8">
      <c r="C21" s="3"/>
      <c r="E21" s="3"/>
      <c r="F21" s="3"/>
      <c r="G21" s="3"/>
      <c r="H21" s="3"/>
    </row>
    <row r="22" spans="3:8">
      <c r="C22" s="3"/>
      <c r="E22" s="3"/>
      <c r="F22" s="3"/>
      <c r="G22" s="3"/>
      <c r="H22" s="3"/>
    </row>
    <row r="23" spans="3:8">
      <c r="C23" s="30"/>
      <c r="D23" s="34"/>
      <c r="E23" s="43"/>
      <c r="F23" s="31"/>
      <c r="G23" s="32"/>
      <c r="H23" s="33"/>
    </row>
    <row r="24" spans="3:8">
      <c r="C24" s="30"/>
      <c r="D24" s="34"/>
      <c r="E24" s="43"/>
      <c r="F24" s="31"/>
      <c r="G24" s="32"/>
      <c r="H24" s="33"/>
    </row>
    <row r="29" spans="3:8" outlineLevel="1"/>
    <row r="30" spans="3:8" outlineLevel="1"/>
    <row r="31" spans="3:8" outlineLevel="1"/>
    <row r="32" spans="3:8" outlineLevel="1"/>
    <row r="33" outlineLevel="1"/>
    <row r="34" outlineLevel="1"/>
    <row r="35" outlineLevel="1"/>
    <row r="36" outlineLevel="1"/>
    <row r="37" outlineLevel="1"/>
    <row r="38" outlineLevel="1"/>
    <row r="39" outlineLevel="1"/>
    <row r="40" outlineLevel="1"/>
    <row r="41" outlineLevel="1"/>
    <row r="42" outlineLevel="1"/>
    <row r="43" outlineLevel="1"/>
    <row r="44" outlineLevel="1"/>
    <row r="45" outlineLevel="1"/>
    <row r="46" outlineLevel="1"/>
    <row r="47" outlineLevel="1"/>
    <row r="48" outlineLevel="1"/>
    <row r="49" outlineLevel="1"/>
    <row r="50" outlineLevel="1"/>
    <row r="51" outlineLevel="1"/>
    <row r="52" outlineLevel="1"/>
    <row r="53" outlineLevel="1"/>
    <row r="54" outlineLevel="1"/>
    <row r="55" outlineLevel="1"/>
    <row r="56" outlineLevel="1"/>
    <row r="57" outlineLevel="1"/>
    <row r="58" outlineLevel="1"/>
    <row r="59" outlineLevel="1"/>
    <row r="60" outlineLevel="1"/>
    <row r="61" outlineLevel="1"/>
    <row r="62" outlineLevel="1"/>
    <row r="63" outlineLevel="1"/>
    <row r="64" outlineLevel="1"/>
    <row r="65" outlineLevel="1"/>
    <row r="66" outlineLevel="1"/>
    <row r="67" outlineLevel="1"/>
    <row r="68" outlineLevel="1"/>
    <row r="69" outlineLevel="1"/>
    <row r="70" outlineLevel="1"/>
    <row r="71" outlineLevel="1"/>
    <row r="72" outlineLevel="1"/>
    <row r="73" outlineLevel="1"/>
    <row r="74" outlineLevel="1"/>
    <row r="75" outlineLevel="1"/>
    <row r="76" outlineLevel="1"/>
    <row r="77" outlineLevel="1"/>
    <row r="78" outlineLevel="1"/>
    <row r="79" outlineLevel="1"/>
    <row r="80" outlineLevel="1"/>
    <row r="81" outlineLevel="1"/>
    <row r="82" outlineLevel="1"/>
    <row r="83" outlineLevel="1"/>
    <row r="84" outlineLevel="1"/>
    <row r="85" outlineLevel="1"/>
    <row r="86" outlineLevel="1"/>
    <row r="87" outlineLevel="1"/>
    <row r="88" outlineLevel="1"/>
    <row r="89" outlineLevel="1"/>
    <row r="90" outlineLevel="1"/>
    <row r="91" outlineLevel="1"/>
    <row r="92" outlineLevel="1"/>
    <row r="93" outlineLevel="1"/>
    <row r="94" outlineLevel="1"/>
    <row r="95" outlineLevel="1"/>
    <row r="96" outlineLevel="1"/>
    <row r="97" outlineLevel="1"/>
    <row r="98" outlineLevel="1"/>
    <row r="99" outlineLevel="1"/>
    <row r="100" outlineLevel="1"/>
    <row r="101" outlineLevel="1"/>
    <row r="102" outlineLevel="1"/>
    <row r="103" outlineLevel="1"/>
    <row r="104" outlineLevel="1"/>
    <row r="105" outlineLevel="1"/>
    <row r="106" outlineLevel="1"/>
    <row r="107" outlineLevel="1"/>
    <row r="108" outlineLevel="1"/>
    <row r="109" outlineLevel="1"/>
    <row r="110" outlineLevel="1"/>
    <row r="111" outlineLevel="1"/>
    <row r="112" outlineLevel="1"/>
    <row r="113" outlineLevel="1"/>
    <row r="114" outlineLevel="1"/>
    <row r="115" outlineLevel="1"/>
    <row r="116" outlineLevel="1"/>
    <row r="117" outlineLevel="1"/>
    <row r="118" outlineLevel="1"/>
    <row r="119" outlineLevel="1"/>
    <row r="120" outlineLevel="1"/>
    <row r="121" outlineLevel="1"/>
    <row r="122" outlineLevel="1"/>
    <row r="123" outlineLevel="1"/>
    <row r="124" outlineLevel="1"/>
    <row r="125" outlineLevel="1"/>
    <row r="126" outlineLevel="1"/>
    <row r="127" outlineLevel="1"/>
    <row r="128" outlineLevel="1"/>
    <row r="129" outlineLevel="1"/>
    <row r="130" outlineLevel="1"/>
    <row r="131" outlineLevel="1"/>
    <row r="132" outlineLevel="1"/>
    <row r="133" outlineLevel="1"/>
    <row r="134" outlineLevel="1"/>
    <row r="135" outlineLevel="1"/>
    <row r="136" outlineLevel="1"/>
    <row r="137" outlineLevel="1"/>
    <row r="138" outlineLevel="1"/>
    <row r="139" outlineLevel="1"/>
    <row r="140" outlineLevel="1"/>
    <row r="141" outlineLevel="1"/>
    <row r="142" outlineLevel="1"/>
    <row r="143" outlineLevel="1"/>
    <row r="144" outlineLevel="1"/>
    <row r="145" outlineLevel="1"/>
    <row r="146" outlineLevel="1"/>
    <row r="147" outlineLevel="1"/>
    <row r="148" outlineLevel="1"/>
    <row r="149" outlineLevel="1"/>
    <row r="150" outlineLevel="1"/>
    <row r="151" outlineLevel="1"/>
    <row r="152" outlineLevel="1"/>
    <row r="153" outlineLevel="1"/>
    <row r="154" outlineLevel="1"/>
    <row r="155" outlineLevel="1"/>
    <row r="156" outlineLevel="1"/>
    <row r="157" outlineLevel="1"/>
    <row r="158" outlineLevel="1"/>
    <row r="159" outlineLevel="1"/>
    <row r="160" outlineLevel="1"/>
    <row r="161" outlineLevel="1"/>
    <row r="162" outlineLevel="1"/>
    <row r="163" outlineLevel="1"/>
    <row r="164" outlineLevel="1"/>
    <row r="165" outlineLevel="1"/>
    <row r="166" outlineLevel="1"/>
    <row r="167" outlineLevel="1"/>
    <row r="168" outlineLevel="1"/>
    <row r="169" outlineLevel="1"/>
    <row r="170" outlineLevel="1"/>
    <row r="171" outlineLevel="1"/>
    <row r="172" outlineLevel="1"/>
    <row r="173" outlineLevel="1"/>
    <row r="174" outlineLevel="1"/>
    <row r="175" outlineLevel="1"/>
    <row r="176" outlineLevel="1"/>
    <row r="177" outlineLevel="1"/>
    <row r="178" outlineLevel="1"/>
    <row r="179" outlineLevel="1"/>
    <row r="180" outlineLevel="1"/>
    <row r="181" outlineLevel="1"/>
    <row r="182" outlineLevel="1"/>
    <row r="183" outlineLevel="1"/>
    <row r="184" outlineLevel="1"/>
    <row r="185" outlineLevel="1"/>
    <row r="186" outlineLevel="1"/>
    <row r="187" outlineLevel="1"/>
    <row r="188" outlineLevel="1"/>
    <row r="189" outlineLevel="1"/>
    <row r="190" outlineLevel="1"/>
    <row r="191" outlineLevel="1"/>
    <row r="192" outlineLevel="1"/>
    <row r="193" outlineLevel="1"/>
    <row r="194" outlineLevel="1"/>
    <row r="195" outlineLevel="1"/>
    <row r="196" outlineLevel="1"/>
    <row r="197" outlineLevel="1"/>
    <row r="198" outlineLevel="1"/>
    <row r="199" outlineLevel="1"/>
    <row r="200" outlineLevel="1"/>
    <row r="201" outlineLevel="1"/>
    <row r="202" outlineLevel="1"/>
    <row r="203" outlineLevel="1"/>
    <row r="204" outlineLevel="1"/>
    <row r="205" outlineLevel="1"/>
    <row r="206" outlineLevel="1"/>
    <row r="207" outlineLevel="1"/>
    <row r="208" outlineLevel="1"/>
    <row r="209" outlineLevel="1"/>
  </sheetData>
  <sheetProtection formatCells="0" formatColumns="0" formatRows="0" insertColumns="0" insertRows="0" insertHyperlinks="0" deleteColumns="0" deleteRows="0" sort="0" autoFilter="0" pivotTables="0"/>
  <autoFilter ref="A2:H4" xr:uid="{00000000-0001-0000-0E00-000000000000}"/>
  <mergeCells count="1">
    <mergeCell ref="A1:C1"/>
  </mergeCells>
  <phoneticPr fontId="15" type="noConversion"/>
  <conditionalFormatting sqref="D1:D5 D23:D1048576">
    <cfRule type="duplicateValues" dxfId="0" priority="6"/>
  </conditionalFormatting>
  <pageMargins left="0.7" right="0.7" top="0.75" bottom="0.75" header="0.3" footer="0.3"/>
  <pageSetup paperSize="9" scale="13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9" tint="0.39997558519241921"/>
  </sheetPr>
  <dimension ref="A1:Q1085"/>
  <sheetViews>
    <sheetView showZeros="0" zoomScale="70" zoomScaleNormal="70" workbookViewId="0">
      <pane xSplit="4" ySplit="1" topLeftCell="F2" activePane="bottomRight" state="frozen"/>
      <selection activeCell="C30" sqref="C30:C31"/>
      <selection pane="topRight" activeCell="C30" sqref="C30:C31"/>
      <selection pane="bottomLeft" activeCell="C30" sqref="C30:C31"/>
      <selection pane="bottomRight" activeCell="S5" sqref="S5"/>
    </sheetView>
  </sheetViews>
  <sheetFormatPr baseColWidth="10" defaultColWidth="9.5" defaultRowHeight="15" outlineLevelCol="1"/>
  <cols>
    <col min="1" max="1" width="20.6640625" style="4" customWidth="1"/>
    <col min="2" max="2" width="25.1640625" style="1" customWidth="1"/>
    <col min="3" max="3" width="14.1640625" style="51" hidden="1" customWidth="1" outlineLevel="1"/>
    <col min="4" max="4" width="16.6640625" style="1" hidden="1" customWidth="1" outlineLevel="1"/>
    <col min="5" max="5" width="10.5" style="1" hidden="1" customWidth="1" outlineLevel="1"/>
    <col min="6" max="6" width="15.83203125" style="1" customWidth="1" collapsed="1"/>
    <col min="7" max="7" width="22.5" style="1" customWidth="1"/>
    <col min="8" max="8" width="12.33203125" style="44" customWidth="1"/>
    <col min="9" max="9" width="3.83203125" style="45" customWidth="1"/>
    <col min="10" max="10" width="15.83203125" style="1" customWidth="1"/>
    <col min="11" max="11" width="13.5" style="1" bestFit="1" customWidth="1"/>
    <col min="12" max="12" width="8.5" style="1" customWidth="1"/>
    <col min="13" max="13" width="17.33203125" style="46" bestFit="1" customWidth="1"/>
    <col min="14" max="14" width="16.1640625" style="5" customWidth="1"/>
    <col min="15" max="15" width="20" style="1" customWidth="1"/>
    <col min="16" max="16" width="13.5" style="6" customWidth="1"/>
    <col min="17" max="17" width="15.5" style="47" bestFit="1" customWidth="1"/>
    <col min="18" max="16384" width="9.5" style="3"/>
  </cols>
  <sheetData>
    <row r="1" spans="1:17" ht="26" customHeight="1">
      <c r="A1" s="8" t="s">
        <v>10</v>
      </c>
      <c r="B1" s="7" t="s">
        <v>11</v>
      </c>
      <c r="C1" s="50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39" t="s">
        <v>1</v>
      </c>
      <c r="I1" s="7" t="s">
        <v>17</v>
      </c>
      <c r="J1" s="7" t="s">
        <v>18</v>
      </c>
      <c r="K1" s="7" t="s">
        <v>19</v>
      </c>
      <c r="L1" s="7" t="s">
        <v>2</v>
      </c>
      <c r="M1" s="40" t="s">
        <v>20</v>
      </c>
      <c r="N1" s="41" t="s">
        <v>21</v>
      </c>
      <c r="O1" s="9" t="s">
        <v>22</v>
      </c>
      <c r="P1" s="10" t="s">
        <v>23</v>
      </c>
      <c r="Q1" s="42" t="s">
        <v>0</v>
      </c>
    </row>
    <row r="2" spans="1:17" ht="26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="3" customFormat="1" ht="14"/>
    <row r="18" s="3" customFormat="1" ht="14"/>
    <row r="19" s="3" customFormat="1" ht="14"/>
    <row r="20" s="3" customFormat="1" ht="14"/>
    <row r="21" s="3" customFormat="1" ht="14"/>
    <row r="22" s="3" customFormat="1" ht="14"/>
    <row r="23" s="3" customFormat="1" ht="14"/>
    <row r="24" s="3" customFormat="1" ht="14"/>
    <row r="25" s="3" customFormat="1" ht="14"/>
    <row r="26" s="3" customFormat="1" ht="14"/>
    <row r="27" s="3" customFormat="1" ht="14"/>
    <row r="28" s="3" customFormat="1" ht="14"/>
    <row r="29" s="3" customFormat="1" ht="14"/>
    <row r="30" s="3" customFormat="1" ht="14"/>
    <row r="31" s="3" customFormat="1" ht="14"/>
    <row r="32" s="3" customFormat="1" ht="14"/>
    <row r="33" s="3" customFormat="1" ht="14"/>
    <row r="34" s="3" customFormat="1" ht="14"/>
    <row r="35" s="3" customFormat="1" ht="14"/>
    <row r="36" s="3" customFormat="1" ht="14"/>
    <row r="37" s="3" customFormat="1" ht="14"/>
    <row r="38" s="3" customFormat="1" ht="14"/>
    <row r="39" s="3" customFormat="1" ht="14"/>
    <row r="40" s="3" customFormat="1" ht="14"/>
    <row r="41" s="3" customFormat="1" ht="14"/>
    <row r="42" s="3" customFormat="1" ht="14"/>
    <row r="43" s="3" customFormat="1" ht="14"/>
    <row r="44" s="3" customFormat="1" ht="14"/>
    <row r="45" s="3" customFormat="1" ht="14"/>
    <row r="46" s="3" customFormat="1" ht="14"/>
    <row r="47" s="3" customFormat="1" ht="14"/>
    <row r="48" s="3" customFormat="1" ht="14"/>
    <row r="49" s="3" customFormat="1" ht="14"/>
    <row r="50" s="3" customFormat="1" ht="14"/>
    <row r="51" s="3" customFormat="1" ht="14"/>
    <row r="52" s="3" customFormat="1" ht="14"/>
    <row r="53" s="3" customFormat="1" ht="14"/>
    <row r="54" s="3" customFormat="1" ht="14"/>
    <row r="55" s="3" customFormat="1" ht="14"/>
    <row r="56" s="3" customFormat="1" ht="14"/>
    <row r="57" s="3" customFormat="1" ht="14"/>
    <row r="58" s="3" customFormat="1" ht="14"/>
    <row r="59" s="3" customFormat="1" ht="14"/>
    <row r="60" s="3" customFormat="1" ht="14"/>
    <row r="61" s="3" customFormat="1" ht="14"/>
    <row r="62" s="3" customFormat="1" ht="14"/>
    <row r="63" s="3" customFormat="1" ht="14"/>
    <row r="64" s="3" customFormat="1" ht="14"/>
    <row r="65" s="3" customFormat="1" ht="14"/>
    <row r="66" s="3" customFormat="1" ht="14"/>
    <row r="67" s="3" customFormat="1" ht="14"/>
    <row r="68" s="3" customFormat="1" ht="14"/>
    <row r="69" s="3" customFormat="1" ht="14"/>
    <row r="70" s="3" customFormat="1" ht="14"/>
    <row r="71" s="3" customFormat="1" ht="14"/>
    <row r="72" s="3" customFormat="1" ht="14"/>
    <row r="73" s="3" customFormat="1" ht="14"/>
    <row r="74" s="3" customFormat="1" ht="14"/>
    <row r="75" s="3" customFormat="1" ht="14"/>
    <row r="76" s="3" customFormat="1" ht="14"/>
    <row r="77" s="3" customFormat="1" ht="14"/>
    <row r="78" s="3" customFormat="1" ht="14"/>
    <row r="79" s="3" customFormat="1" ht="14"/>
    <row r="80" s="3" customFormat="1" ht="14"/>
    <row r="81" s="3" customFormat="1" ht="14"/>
    <row r="82" s="3" customFormat="1" ht="14"/>
    <row r="83" s="3" customFormat="1" ht="14"/>
    <row r="84" s="3" customFormat="1" ht="14"/>
    <row r="85" s="3" customFormat="1" ht="14"/>
    <row r="86" s="3" customFormat="1" ht="14"/>
    <row r="87" s="3" customFormat="1" ht="14"/>
    <row r="88" s="3" customFormat="1" ht="14"/>
    <row r="89" s="3" customFormat="1" ht="14"/>
    <row r="90" s="3" customFormat="1" ht="14"/>
    <row r="91" s="3" customFormat="1" ht="14"/>
    <row r="92" s="3" customFormat="1" ht="14"/>
    <row r="93" s="3" customFormat="1" ht="14"/>
    <row r="94" s="3" customFormat="1" ht="14"/>
    <row r="95" s="3" customFormat="1" ht="14"/>
    <row r="96" s="3" customFormat="1" ht="14"/>
    <row r="97" s="3" customFormat="1" ht="14"/>
    <row r="98" s="3" customFormat="1" ht="14"/>
    <row r="99" s="3" customFormat="1" ht="14"/>
    <row r="100" s="3" customFormat="1" ht="14"/>
    <row r="101" s="3" customFormat="1" ht="14"/>
    <row r="102" s="3" customFormat="1" ht="14"/>
    <row r="103" s="3" customFormat="1" ht="14"/>
    <row r="104" s="3" customFormat="1" ht="14"/>
    <row r="105" s="3" customFormat="1" ht="14"/>
    <row r="106" s="3" customFormat="1" ht="14"/>
    <row r="107" s="3" customFormat="1" ht="14"/>
    <row r="108" s="3" customFormat="1" ht="14"/>
    <row r="109" s="3" customFormat="1" ht="14"/>
    <row r="110" s="3" customFormat="1" ht="14"/>
    <row r="111" s="3" customFormat="1" ht="14"/>
    <row r="112" s="3" customFormat="1" ht="14"/>
    <row r="113" s="3" customFormat="1" ht="14"/>
    <row r="114" s="3" customFormat="1" ht="14"/>
    <row r="115" s="3" customFormat="1" ht="14"/>
    <row r="116" s="3" customFormat="1" ht="14"/>
    <row r="117" s="3" customFormat="1" ht="14"/>
    <row r="118" s="3" customFormat="1" ht="14"/>
    <row r="119" s="3" customFormat="1" ht="14"/>
    <row r="120" s="3" customFormat="1" ht="14"/>
    <row r="121" s="3" customFormat="1" ht="14"/>
    <row r="122" s="3" customFormat="1" ht="14"/>
    <row r="123" s="3" customFormat="1" ht="14"/>
    <row r="124" s="3" customFormat="1" ht="14"/>
    <row r="125" s="3" customFormat="1" ht="14"/>
    <row r="126" s="3" customFormat="1" ht="14"/>
    <row r="127" s="3" customFormat="1" ht="18" customHeight="1"/>
    <row r="128" s="3" customFormat="1" ht="18" customHeight="1"/>
    <row r="129" s="3" customFormat="1" ht="14"/>
    <row r="130" s="3" customFormat="1" ht="14"/>
    <row r="131" s="3" customFormat="1" ht="14"/>
    <row r="132" s="3" customFormat="1" ht="14"/>
    <row r="133" s="3" customFormat="1" ht="14"/>
    <row r="134" s="3" customFormat="1" ht="62.25" customHeight="1"/>
    <row r="135" s="3" customFormat="1" ht="27" customHeight="1"/>
    <row r="136" s="3" customFormat="1" ht="27" customHeight="1"/>
    <row r="137" s="3" customFormat="1" ht="27" customHeight="1"/>
    <row r="138" s="3" customFormat="1" ht="27" customHeight="1"/>
    <row r="139" s="3" customFormat="1" ht="27" customHeight="1"/>
    <row r="140" s="3" customFormat="1" ht="27" customHeight="1"/>
    <row r="141" s="3" customFormat="1" ht="27" customHeight="1"/>
    <row r="142" s="3" customFormat="1" ht="27" customHeight="1"/>
    <row r="143" s="3" customFormat="1" ht="27" customHeight="1"/>
    <row r="144" s="3" customFormat="1" ht="27" customHeight="1"/>
    <row r="145" s="3" customFormat="1" ht="27" customHeight="1"/>
    <row r="146" s="3" customFormat="1" ht="30.75" customHeight="1"/>
    <row r="147" s="3" customFormat="1" ht="30.75" customHeight="1"/>
    <row r="148" s="3" customFormat="1" ht="30.75" customHeight="1"/>
    <row r="149" s="3" customFormat="1" ht="30.75" customHeight="1"/>
    <row r="150" s="3" customFormat="1" ht="30.75" customHeight="1"/>
    <row r="151" s="3" customFormat="1" ht="30.75" customHeight="1"/>
    <row r="152" s="3" customFormat="1" ht="30.75" customHeight="1"/>
    <row r="153" s="3" customFormat="1" ht="30.75" customHeight="1"/>
    <row r="154" s="3" customFormat="1" ht="14"/>
    <row r="155" s="3" customFormat="1" ht="14"/>
    <row r="156" s="3" customFormat="1" ht="14"/>
    <row r="157" s="3" customFormat="1" ht="14"/>
    <row r="158" s="3" customFormat="1" ht="14"/>
    <row r="159" s="3" customFormat="1" ht="14"/>
    <row r="160" s="3" customFormat="1" ht="14"/>
    <row r="161" s="3" customFormat="1" ht="14"/>
    <row r="162" s="3" customFormat="1" ht="14"/>
    <row r="163" s="3" customFormat="1" ht="14"/>
    <row r="164" s="3" customFormat="1" ht="14"/>
    <row r="165" s="3" customFormat="1" ht="14"/>
    <row r="166" s="3" customFormat="1" ht="14"/>
    <row r="167" s="3" customFormat="1" ht="14"/>
    <row r="168" s="3" customFormat="1" ht="14"/>
    <row r="169" s="3" customFormat="1" ht="14"/>
    <row r="170" s="3" customFormat="1" ht="14"/>
    <row r="171" s="3" customFormat="1" ht="14"/>
    <row r="172" s="3" customFormat="1" ht="14"/>
    <row r="173" s="3" customFormat="1" ht="14"/>
    <row r="174" s="3" customFormat="1" ht="14"/>
    <row r="175" s="3" customFormat="1" ht="14"/>
    <row r="176" s="3" customFormat="1" ht="14"/>
    <row r="177" s="3" customFormat="1" ht="14"/>
    <row r="178" s="3" customFormat="1" ht="14"/>
    <row r="179" s="3" customFormat="1" ht="14"/>
    <row r="180" s="3" customFormat="1" ht="14"/>
    <row r="181" s="3" customFormat="1" ht="14.5" customHeight="1"/>
    <row r="182" s="3" customFormat="1" ht="14"/>
    <row r="183" s="3" customFormat="1" ht="14"/>
    <row r="184" s="3" customFormat="1" ht="14"/>
    <row r="185" s="3" customFormat="1" ht="14"/>
    <row r="186" s="3" customFormat="1" ht="14"/>
    <row r="187" s="3" customFormat="1" ht="14"/>
    <row r="188" s="3" customFormat="1" ht="14"/>
    <row r="189" s="3" customFormat="1" ht="14"/>
    <row r="190" s="3" customFormat="1" ht="14"/>
    <row r="191" s="3" customFormat="1" ht="14"/>
    <row r="192" s="3" customFormat="1" ht="14"/>
    <row r="193" s="3" customFormat="1" ht="14"/>
    <row r="194" s="3" customFormat="1" ht="14"/>
    <row r="195" s="3" customFormat="1" ht="14"/>
    <row r="196" s="3" customFormat="1" ht="14"/>
    <row r="197" s="3" customFormat="1" ht="14"/>
    <row r="198" s="3" customFormat="1" ht="14"/>
    <row r="199" s="3" customFormat="1" ht="14"/>
    <row r="200" s="3" customFormat="1" ht="14"/>
    <row r="201" s="3" customFormat="1" ht="14"/>
    <row r="202" s="3" customFormat="1" ht="14"/>
    <row r="203" s="3" customFormat="1" ht="14"/>
    <row r="204" s="3" customFormat="1" ht="14"/>
    <row r="205" s="3" customFormat="1" ht="14"/>
    <row r="206" s="3" customFormat="1" ht="14"/>
    <row r="207" s="3" customFormat="1" ht="14"/>
    <row r="208" s="3" customFormat="1" ht="14"/>
    <row r="209" s="3" customFormat="1" ht="14"/>
    <row r="210" s="3" customFormat="1" ht="14"/>
    <row r="211" s="3" customFormat="1" ht="14"/>
    <row r="212" s="3" customFormat="1" ht="14"/>
    <row r="213" s="3" customFormat="1" ht="14"/>
    <row r="214" s="3" customFormat="1" ht="14"/>
    <row r="215" s="3" customFormat="1" ht="14"/>
    <row r="216" s="3" customFormat="1" ht="14"/>
    <row r="217" s="3" customFormat="1" ht="14"/>
    <row r="218" s="3" customFormat="1" ht="14"/>
    <row r="219" s="3" customFormat="1" ht="14"/>
    <row r="220" s="3" customFormat="1" ht="14"/>
    <row r="221" s="3" customFormat="1" ht="27.75" customHeight="1"/>
    <row r="222" s="3" customFormat="1" ht="14"/>
    <row r="223" s="3" customFormat="1" ht="14"/>
    <row r="224" s="3" customFormat="1" ht="14"/>
    <row r="225" s="3" customFormat="1" ht="14"/>
    <row r="226" s="3" customFormat="1" ht="14"/>
    <row r="227" s="3" customFormat="1" ht="14"/>
    <row r="228" s="3" customFormat="1" ht="14"/>
    <row r="229" s="3" customFormat="1" ht="14"/>
    <row r="230" s="3" customFormat="1" ht="14"/>
    <row r="231" s="3" customFormat="1" ht="14"/>
    <row r="232" s="3" customFormat="1" ht="14"/>
    <row r="233" s="3" customFormat="1" ht="14"/>
    <row r="234" s="3" customFormat="1" ht="14"/>
    <row r="235" s="3" customFormat="1" ht="14"/>
    <row r="236" s="3" customFormat="1" ht="30.75" customHeight="1"/>
    <row r="237" s="3" customFormat="1" ht="14"/>
    <row r="238" s="3" customFormat="1" ht="14"/>
    <row r="239" s="3" customFormat="1" ht="14"/>
    <row r="240" s="3" customFormat="1" ht="14"/>
    <row r="241" s="3" customFormat="1" ht="14"/>
    <row r="242" s="3" customFormat="1" ht="14"/>
    <row r="243" s="3" customFormat="1" ht="14"/>
    <row r="244" s="3" customFormat="1" ht="14"/>
    <row r="245" s="3" customFormat="1" ht="14"/>
    <row r="246" s="3" customFormat="1" ht="14"/>
    <row r="247" s="3" customFormat="1" ht="14"/>
    <row r="248" s="3" customFormat="1" ht="14"/>
    <row r="249" s="3" customFormat="1" ht="14"/>
    <row r="250" s="3" customFormat="1" ht="14"/>
    <row r="251" s="3" customFormat="1" ht="14"/>
    <row r="252" s="3" customFormat="1" ht="14"/>
    <row r="253" s="3" customFormat="1" ht="14"/>
    <row r="254" s="3" customFormat="1" ht="14"/>
    <row r="255" s="3" customFormat="1" ht="14"/>
    <row r="256" s="3" customFormat="1" ht="14"/>
    <row r="257" s="3" customFormat="1" ht="14"/>
    <row r="258" s="3" customFormat="1" ht="14"/>
    <row r="259" s="3" customFormat="1" ht="14"/>
    <row r="260" s="3" customFormat="1" ht="14"/>
    <row r="261" s="3" customFormat="1" ht="14"/>
    <row r="262" s="3" customFormat="1" ht="14"/>
    <row r="263" s="3" customFormat="1" ht="14"/>
    <row r="264" s="3" customFormat="1" ht="14"/>
    <row r="265" s="3" customFormat="1" ht="14"/>
    <row r="266" s="3" customFormat="1" ht="14"/>
    <row r="267" s="3" customFormat="1" ht="14"/>
    <row r="268" s="3" customFormat="1" ht="14"/>
    <row r="269" s="3" customFormat="1" ht="14"/>
    <row r="270" s="3" customFormat="1" ht="14"/>
    <row r="271" s="3" customFormat="1" ht="14"/>
    <row r="272" s="3" customFormat="1" ht="14"/>
    <row r="273" s="3" customFormat="1" ht="14"/>
    <row r="274" s="3" customFormat="1" ht="14"/>
    <row r="275" s="3" customFormat="1" ht="14"/>
    <row r="276" s="3" customFormat="1" ht="14"/>
    <row r="277" s="3" customFormat="1" ht="14"/>
    <row r="278" s="3" customFormat="1" ht="14"/>
    <row r="279" s="3" customFormat="1" ht="14"/>
    <row r="280" s="3" customFormat="1" ht="14"/>
    <row r="281" s="3" customFormat="1" ht="14"/>
    <row r="282" s="3" customFormat="1" ht="14"/>
    <row r="283" s="3" customFormat="1" ht="14"/>
    <row r="284" s="3" customFormat="1" ht="14"/>
    <row r="285" s="3" customFormat="1" ht="14"/>
    <row r="286" s="3" customFormat="1" ht="14"/>
    <row r="287" s="3" customFormat="1" ht="14"/>
    <row r="288" s="3" customFormat="1" ht="14"/>
    <row r="289" s="3" customFormat="1" ht="14"/>
    <row r="290" s="3" customFormat="1" ht="14"/>
    <row r="291" s="3" customFormat="1" ht="14"/>
    <row r="292" s="3" customFormat="1" ht="14"/>
    <row r="293" s="3" customFormat="1" ht="14"/>
    <row r="294" s="3" customFormat="1" ht="14"/>
    <row r="295" s="3" customFormat="1" ht="14"/>
    <row r="296" s="3" customFormat="1" ht="14"/>
    <row r="297" s="3" customFormat="1" ht="14"/>
    <row r="298" s="3" customFormat="1" ht="14"/>
    <row r="299" s="3" customFormat="1" ht="14"/>
    <row r="300" s="3" customFormat="1" ht="14"/>
    <row r="301" s="3" customFormat="1" ht="14"/>
    <row r="302" s="3" customFormat="1" ht="14"/>
    <row r="303" s="3" customFormat="1" ht="14"/>
    <row r="304" s="3" customFormat="1" ht="14"/>
    <row r="305" s="3" customFormat="1" ht="14"/>
    <row r="306" s="3" customFormat="1" ht="14"/>
    <row r="307" s="3" customFormat="1" ht="14"/>
    <row r="308" s="3" customFormat="1" ht="14"/>
    <row r="309" s="3" customFormat="1" ht="14"/>
    <row r="310" s="3" customFormat="1" ht="14"/>
    <row r="311" s="3" customFormat="1" ht="14"/>
    <row r="312" s="3" customFormat="1" ht="14"/>
    <row r="313" s="3" customFormat="1" ht="14"/>
    <row r="314" s="3" customFormat="1" ht="14"/>
    <row r="315" s="3" customFormat="1" ht="14"/>
    <row r="316" s="3" customFormat="1" ht="14"/>
    <row r="317" s="3" customFormat="1" ht="14"/>
    <row r="318" s="3" customFormat="1" ht="14"/>
    <row r="319" s="3" customFormat="1" ht="14"/>
    <row r="320" s="3" customFormat="1" ht="14"/>
    <row r="321" s="3" customFormat="1" ht="14"/>
    <row r="322" s="3" customFormat="1" ht="14"/>
    <row r="323" s="3" customFormat="1" ht="14"/>
    <row r="324" s="3" customFormat="1" ht="14"/>
    <row r="325" s="3" customFormat="1" ht="14"/>
    <row r="326" s="3" customFormat="1" ht="14"/>
    <row r="327" s="3" customFormat="1" ht="14"/>
    <row r="328" s="3" customFormat="1" ht="14"/>
    <row r="329" s="3" customFormat="1" ht="14"/>
    <row r="330" s="3" customFormat="1" ht="14"/>
    <row r="331" s="3" customFormat="1" ht="14"/>
    <row r="332" s="3" customFormat="1" ht="14"/>
    <row r="333" s="3" customFormat="1" ht="14"/>
    <row r="334" s="3" customFormat="1" ht="14"/>
    <row r="335" s="3" customFormat="1" ht="14"/>
    <row r="336" s="3" customFormat="1" ht="14"/>
    <row r="337" s="3" customFormat="1" ht="14"/>
    <row r="338" s="3" customFormat="1" ht="14"/>
    <row r="339" s="3" customFormat="1" ht="14"/>
    <row r="340" s="3" customFormat="1" ht="14"/>
    <row r="341" s="3" customFormat="1" ht="14"/>
    <row r="342" s="3" customFormat="1" ht="14"/>
    <row r="343" s="3" customFormat="1" ht="14"/>
    <row r="344" s="3" customFormat="1" ht="14"/>
    <row r="345" s="3" customFormat="1" ht="14"/>
    <row r="346" s="3" customFormat="1" ht="14"/>
    <row r="347" s="3" customFormat="1" ht="14"/>
    <row r="348" s="3" customFormat="1" ht="14"/>
    <row r="349" s="3" customFormat="1" ht="14"/>
    <row r="350" s="3" customFormat="1" ht="14"/>
    <row r="351" s="3" customFormat="1" ht="14"/>
    <row r="352" s="3" customFormat="1" ht="14"/>
    <row r="353" s="3" customFormat="1" ht="14"/>
    <row r="354" s="3" customFormat="1" ht="22.5" customHeight="1"/>
    <row r="355" s="3" customFormat="1" ht="22.5" customHeight="1"/>
    <row r="356" s="3" customFormat="1" ht="22.5" customHeight="1"/>
    <row r="357" s="3" customFormat="1" ht="22.5" customHeight="1"/>
    <row r="358" s="3" customFormat="1" ht="22.5" customHeight="1"/>
    <row r="359" s="3" customFormat="1" ht="22.5" customHeight="1"/>
    <row r="360" s="3" customFormat="1" ht="22.5" customHeight="1"/>
    <row r="361" s="3" customFormat="1" ht="22.5" customHeight="1"/>
    <row r="362" s="3" customFormat="1" ht="22.5" customHeight="1"/>
    <row r="363" s="3" customFormat="1" ht="14"/>
    <row r="364" s="3" customFormat="1" ht="14"/>
    <row r="365" s="3" customFormat="1" ht="14"/>
    <row r="366" s="3" customFormat="1" ht="14"/>
    <row r="367" s="3" customFormat="1" ht="14"/>
    <row r="368" s="3" customFormat="1" ht="14"/>
    <row r="369" s="3" customFormat="1" ht="14"/>
    <row r="370" s="3" customFormat="1" ht="14"/>
    <row r="371" s="3" customFormat="1" ht="14"/>
    <row r="372" s="3" customFormat="1" ht="14"/>
    <row r="373" s="3" customFormat="1" ht="14"/>
    <row r="374" s="3" customFormat="1" ht="14"/>
    <row r="375" s="3" customFormat="1" ht="14"/>
    <row r="376" s="3" customFormat="1" ht="14"/>
    <row r="377" s="3" customFormat="1" ht="14"/>
    <row r="378" s="3" customFormat="1" ht="14"/>
    <row r="379" s="3" customFormat="1" ht="14"/>
    <row r="380" s="3" customFormat="1" ht="14"/>
    <row r="381" s="3" customFormat="1" ht="14"/>
    <row r="382" s="3" customFormat="1" ht="14"/>
    <row r="383" s="3" customFormat="1" ht="14"/>
    <row r="384" s="3" customFormat="1" ht="14"/>
    <row r="385" s="3" customFormat="1" ht="14"/>
    <row r="386" s="3" customFormat="1" ht="14"/>
    <row r="387" s="3" customFormat="1" ht="14"/>
    <row r="388" s="3" customFormat="1" ht="14"/>
    <row r="389" s="3" customFormat="1" ht="14"/>
    <row r="390" s="3" customFormat="1" ht="14"/>
    <row r="391" s="3" customFormat="1" ht="14"/>
    <row r="392" s="3" customFormat="1" ht="14"/>
    <row r="393" s="3" customFormat="1" ht="14"/>
    <row r="394" s="3" customFormat="1" ht="14"/>
    <row r="395" s="3" customFormat="1" ht="14"/>
    <row r="396" s="3" customFormat="1" ht="14"/>
    <row r="397" s="3" customFormat="1" ht="14"/>
    <row r="398" s="3" customFormat="1" ht="14"/>
    <row r="399" s="3" customFormat="1" ht="14"/>
    <row r="400" s="3" customFormat="1" ht="14"/>
    <row r="401" s="3" customFormat="1" ht="14"/>
    <row r="402" s="3" customFormat="1" ht="14"/>
    <row r="403" s="3" customFormat="1" ht="14"/>
    <row r="404" s="3" customFormat="1" ht="14"/>
    <row r="405" s="3" customFormat="1" ht="14"/>
    <row r="406" s="3" customFormat="1" ht="14"/>
    <row r="407" s="3" customFormat="1" ht="14"/>
    <row r="408" s="3" customFormat="1" ht="14"/>
    <row r="409" s="3" customFormat="1" ht="14"/>
    <row r="410" s="3" customFormat="1" ht="14"/>
    <row r="411" s="3" customFormat="1" ht="14"/>
    <row r="412" s="3" customFormat="1" ht="14"/>
    <row r="413" s="3" customFormat="1" ht="14"/>
    <row r="414" s="3" customFormat="1" ht="14"/>
    <row r="415" s="3" customFormat="1" ht="14"/>
    <row r="416" s="3" customFormat="1" ht="14"/>
    <row r="417" s="3" customFormat="1" ht="14"/>
    <row r="418" s="3" customFormat="1" ht="14"/>
    <row r="419" s="3" customFormat="1" ht="14"/>
    <row r="420" s="3" customFormat="1" ht="14"/>
    <row r="421" s="3" customFormat="1" ht="14"/>
    <row r="422" s="3" customFormat="1" ht="14"/>
    <row r="423" s="3" customFormat="1" ht="14"/>
    <row r="424" s="3" customFormat="1" ht="14"/>
    <row r="425" s="3" customFormat="1" ht="14"/>
    <row r="426" s="3" customFormat="1" ht="14"/>
    <row r="427" s="3" customFormat="1" ht="14"/>
    <row r="428" s="3" customFormat="1" ht="14"/>
    <row r="429" s="3" customFormat="1" ht="14"/>
    <row r="430" s="3" customFormat="1" ht="14"/>
    <row r="431" s="3" customFormat="1" ht="14"/>
    <row r="432" s="3" customFormat="1" ht="14"/>
    <row r="433" s="3" customFormat="1" ht="14"/>
    <row r="434" s="3" customFormat="1" ht="14"/>
    <row r="435" s="3" customFormat="1" ht="14"/>
    <row r="436" s="3" customFormat="1" ht="14"/>
    <row r="437" s="3" customFormat="1" ht="14"/>
    <row r="438" s="3" customFormat="1" ht="14"/>
    <row r="439" s="3" customFormat="1" ht="14"/>
    <row r="440" s="3" customFormat="1" ht="14"/>
    <row r="441" s="3" customFormat="1" ht="14"/>
    <row r="442" s="3" customFormat="1" ht="14"/>
    <row r="443" s="3" customFormat="1" ht="14"/>
    <row r="444" s="3" customFormat="1" ht="14"/>
    <row r="445" s="3" customFormat="1" ht="14"/>
    <row r="446" s="3" customFormat="1" ht="14"/>
    <row r="447" s="3" customFormat="1" ht="14"/>
    <row r="448" s="3" customFormat="1" ht="14"/>
    <row r="449" s="3" customFormat="1" ht="14"/>
    <row r="450" s="3" customFormat="1" ht="14"/>
    <row r="451" s="3" customFormat="1" ht="14"/>
    <row r="452" s="3" customFormat="1" ht="14"/>
    <row r="453" s="3" customFormat="1" ht="14"/>
    <row r="454" s="3" customFormat="1" ht="14"/>
    <row r="455" s="3" customFormat="1" ht="14"/>
    <row r="456" s="3" customFormat="1" ht="14"/>
    <row r="457" s="3" customFormat="1" ht="14"/>
    <row r="458" s="3" customFormat="1" ht="14"/>
    <row r="459" s="3" customFormat="1" ht="14"/>
    <row r="460" s="3" customFormat="1" ht="14"/>
    <row r="461" s="3" customFormat="1" ht="14"/>
    <row r="462" s="3" customFormat="1" ht="14"/>
    <row r="463" s="3" customFormat="1" ht="14"/>
    <row r="464" s="3" customFormat="1" ht="14"/>
    <row r="465" s="3" customFormat="1" ht="14"/>
    <row r="466" s="3" customFormat="1" ht="14"/>
    <row r="467" s="3" customFormat="1" ht="14.25" customHeight="1"/>
    <row r="468" s="3" customFormat="1" ht="14"/>
    <row r="469" s="3" customFormat="1" ht="14"/>
    <row r="470" s="3" customFormat="1" ht="14"/>
    <row r="471" s="3" customFormat="1" ht="14"/>
    <row r="472" s="3" customFormat="1" ht="14"/>
    <row r="473" s="3" customFormat="1" ht="14"/>
    <row r="474" s="3" customFormat="1" ht="14"/>
    <row r="475" s="3" customFormat="1" ht="14"/>
    <row r="476" s="3" customFormat="1" ht="14"/>
    <row r="477" s="3" customFormat="1" ht="14"/>
    <row r="478" s="3" customFormat="1" ht="14"/>
    <row r="479" s="3" customFormat="1" ht="14"/>
    <row r="480" s="3" customFormat="1" ht="14"/>
    <row r="481" s="3" customFormat="1" ht="14"/>
    <row r="482" s="3" customFormat="1" ht="14"/>
    <row r="483" s="3" customFormat="1" ht="14"/>
    <row r="484" s="3" customFormat="1" ht="14"/>
    <row r="485" s="3" customFormat="1" ht="14"/>
    <row r="486" s="3" customFormat="1" ht="14"/>
    <row r="487" s="3" customFormat="1" ht="14"/>
    <row r="488" s="3" customFormat="1" ht="14"/>
    <row r="489" s="3" customFormat="1" ht="14"/>
    <row r="490" s="3" customFormat="1" ht="14"/>
    <row r="491" s="3" customFormat="1" ht="14"/>
    <row r="492" s="3" customFormat="1" ht="14"/>
    <row r="493" s="3" customFormat="1" ht="14"/>
    <row r="494" s="3" customFormat="1" ht="14"/>
    <row r="495" s="3" customFormat="1" ht="14"/>
    <row r="496" s="3" customFormat="1" ht="14"/>
    <row r="497" s="3" customFormat="1" ht="14"/>
    <row r="498" s="3" customFormat="1" ht="14"/>
    <row r="499" s="3" customFormat="1" ht="14"/>
    <row r="500" s="3" customFormat="1" ht="14"/>
    <row r="501" s="3" customFormat="1" ht="14"/>
    <row r="502" s="3" customFormat="1" ht="14"/>
    <row r="503" s="3" customFormat="1" ht="14"/>
    <row r="504" s="3" customFormat="1" ht="14"/>
    <row r="505" s="3" customFormat="1" ht="14"/>
    <row r="506" s="3" customFormat="1" ht="14"/>
    <row r="507" s="3" customFormat="1" ht="14"/>
    <row r="508" s="3" customFormat="1" ht="14"/>
    <row r="509" s="3" customFormat="1" ht="14"/>
    <row r="510" s="3" customFormat="1" ht="14"/>
    <row r="511" s="3" customFormat="1" ht="14"/>
    <row r="512" s="3" customFormat="1" ht="14"/>
    <row r="513" s="3" customFormat="1" ht="14"/>
    <row r="514" s="3" customFormat="1" ht="14"/>
    <row r="515" s="3" customFormat="1" ht="14"/>
    <row r="516" s="3" customFormat="1" ht="14"/>
    <row r="517" s="3" customFormat="1" ht="14"/>
    <row r="518" s="3" customFormat="1" ht="14"/>
    <row r="519" s="3" customFormat="1" ht="14"/>
    <row r="520" s="3" customFormat="1" ht="14"/>
    <row r="521" s="3" customFormat="1" ht="14"/>
    <row r="522" s="3" customFormat="1" ht="14"/>
    <row r="523" s="3" customFormat="1" ht="14"/>
    <row r="524" s="3" customFormat="1" ht="14"/>
    <row r="525" s="3" customFormat="1" ht="14"/>
    <row r="526" s="3" customFormat="1" ht="14"/>
    <row r="527" s="3" customFormat="1" ht="14"/>
    <row r="528" s="3" customFormat="1" ht="14"/>
    <row r="529" s="3" customFormat="1" ht="14"/>
    <row r="530" s="3" customFormat="1" ht="14"/>
    <row r="531" s="3" customFormat="1" ht="14"/>
    <row r="532" s="3" customFormat="1" ht="14"/>
    <row r="533" s="3" customFormat="1" ht="14"/>
    <row r="534" s="3" customFormat="1" ht="14"/>
    <row r="535" s="3" customFormat="1" ht="14"/>
    <row r="536" s="3" customFormat="1" ht="14"/>
    <row r="537" s="3" customFormat="1" ht="14"/>
    <row r="538" s="3" customFormat="1" ht="14"/>
    <row r="539" s="3" customFormat="1" ht="14"/>
    <row r="540" s="3" customFormat="1" ht="14"/>
    <row r="541" s="3" customFormat="1" ht="14"/>
    <row r="542" s="3" customFormat="1" ht="14"/>
    <row r="543" s="3" customFormat="1" ht="14"/>
    <row r="544" s="3" customFormat="1" ht="14"/>
    <row r="545" s="3" customFormat="1" ht="14"/>
    <row r="546" s="3" customFormat="1" ht="14"/>
    <row r="547" s="3" customFormat="1" ht="14"/>
    <row r="548" s="3" customFormat="1" ht="14"/>
    <row r="549" s="3" customFormat="1" ht="14"/>
    <row r="550" s="3" customFormat="1" ht="14"/>
    <row r="551" s="3" customFormat="1" ht="14"/>
    <row r="552" s="3" customFormat="1" ht="14"/>
    <row r="553" s="3" customFormat="1" ht="14"/>
    <row r="554" s="3" customFormat="1" ht="14"/>
    <row r="555" s="3" customFormat="1" ht="14"/>
    <row r="556" s="3" customFormat="1" ht="14"/>
    <row r="557" s="3" customFormat="1" ht="14"/>
    <row r="558" s="3" customFormat="1" ht="14"/>
    <row r="559" s="3" customFormat="1" ht="14"/>
    <row r="560" s="3" customFormat="1" ht="14"/>
    <row r="561" s="3" customFormat="1" ht="14"/>
    <row r="562" s="3" customFormat="1" ht="14"/>
    <row r="563" s="3" customFormat="1" ht="14"/>
    <row r="564" s="3" customFormat="1" ht="14"/>
    <row r="565" s="3" customFormat="1" ht="14"/>
    <row r="566" s="3" customFormat="1" ht="14"/>
    <row r="567" s="3" customFormat="1" ht="14"/>
    <row r="568" s="3" customFormat="1" ht="14"/>
    <row r="569" s="3" customFormat="1" ht="14"/>
    <row r="570" s="3" customFormat="1" ht="14"/>
    <row r="571" s="3" customFormat="1" ht="14"/>
    <row r="572" s="3" customFormat="1" ht="14"/>
    <row r="573" s="3" customFormat="1" ht="14"/>
    <row r="574" s="3" customFormat="1" ht="14"/>
    <row r="575" s="3" customFormat="1" ht="14"/>
    <row r="576" s="3" customFormat="1" ht="14"/>
    <row r="577" s="3" customFormat="1" ht="14"/>
    <row r="578" s="3" customFormat="1" ht="14"/>
    <row r="579" s="3" customFormat="1" ht="14"/>
    <row r="580" s="3" customFormat="1" ht="14"/>
    <row r="581" s="3" customFormat="1" ht="14"/>
    <row r="582" s="3" customFormat="1" ht="14"/>
    <row r="583" s="3" customFormat="1" ht="14"/>
    <row r="584" s="3" customFormat="1" ht="14"/>
    <row r="585" s="3" customFormat="1" ht="14"/>
    <row r="586" s="3" customFormat="1" ht="14"/>
    <row r="587" s="3" customFormat="1" ht="14"/>
    <row r="588" s="3" customFormat="1" ht="14"/>
    <row r="589" s="3" customFormat="1" ht="14"/>
    <row r="590" s="3" customFormat="1" ht="14"/>
    <row r="591" s="3" customFormat="1" ht="14"/>
    <row r="592" s="3" customFormat="1" ht="14"/>
    <row r="593" s="3" customFormat="1" ht="14"/>
    <row r="594" s="3" customFormat="1" ht="14"/>
    <row r="595" s="3" customFormat="1" ht="14"/>
    <row r="596" s="3" customFormat="1" ht="14"/>
    <row r="597" s="3" customFormat="1" ht="14"/>
    <row r="598" s="3" customFormat="1" ht="14"/>
    <row r="599" s="3" customFormat="1" ht="14"/>
    <row r="600" s="3" customFormat="1" ht="14"/>
    <row r="601" s="3" customFormat="1" ht="14"/>
    <row r="602" s="3" customFormat="1" ht="14"/>
    <row r="603" s="3" customFormat="1" ht="14"/>
    <row r="604" s="3" customFormat="1" ht="14"/>
    <row r="605" s="3" customFormat="1" ht="14"/>
    <row r="606" s="3" customFormat="1" ht="14"/>
    <row r="607" s="3" customFormat="1" ht="14"/>
    <row r="608" s="3" customFormat="1" ht="14"/>
    <row r="609" s="3" customFormat="1" ht="14"/>
    <row r="610" s="3" customFormat="1" ht="14"/>
    <row r="611" s="3" customFormat="1" ht="14"/>
    <row r="612" s="3" customFormat="1" ht="14"/>
    <row r="613" s="3" customFormat="1" ht="14"/>
    <row r="614" s="3" customFormat="1" ht="14"/>
    <row r="615" s="3" customFormat="1" ht="14"/>
    <row r="616" s="3" customFormat="1" ht="14"/>
    <row r="617" s="3" customFormat="1" ht="14"/>
    <row r="618" s="3" customFormat="1" ht="14"/>
    <row r="619" s="3" customFormat="1" ht="14"/>
    <row r="620" s="3" customFormat="1" ht="14"/>
    <row r="621" s="3" customFormat="1" ht="14"/>
    <row r="622" s="3" customFormat="1" ht="14"/>
    <row r="623" s="3" customFormat="1" ht="14"/>
    <row r="624" s="3" customFormat="1" ht="14"/>
    <row r="625" s="3" customFormat="1" ht="14"/>
    <row r="626" s="3" customFormat="1" ht="14"/>
    <row r="627" s="3" customFormat="1" ht="14"/>
    <row r="628" s="3" customFormat="1" ht="14"/>
    <row r="629" s="3" customFormat="1" ht="14"/>
    <row r="630" s="3" customFormat="1" ht="14"/>
    <row r="631" s="3" customFormat="1" ht="14"/>
    <row r="632" s="3" customFormat="1" ht="14"/>
    <row r="633" s="3" customFormat="1" ht="14"/>
    <row r="634" s="3" customFormat="1" ht="14"/>
    <row r="635" s="3" customFormat="1" ht="14"/>
    <row r="636" s="3" customFormat="1" ht="14"/>
    <row r="637" s="3" customFormat="1" ht="14"/>
    <row r="638" s="3" customFormat="1" ht="14"/>
    <row r="639" s="3" customFormat="1" ht="14"/>
    <row r="640" s="3" customFormat="1" ht="14"/>
    <row r="641" s="3" customFormat="1" ht="14"/>
    <row r="642" s="3" customFormat="1" ht="14"/>
    <row r="643" s="3" customFormat="1" ht="14"/>
    <row r="644" s="3" customFormat="1" ht="14"/>
    <row r="645" s="3" customFormat="1" ht="14"/>
    <row r="646" s="3" customFormat="1" ht="14"/>
    <row r="647" s="3" customFormat="1" ht="14"/>
    <row r="648" s="3" customFormat="1" ht="14"/>
    <row r="649" s="3" customFormat="1" ht="14"/>
    <row r="650" s="3" customFormat="1" ht="14"/>
    <row r="651" s="3" customFormat="1" ht="14"/>
    <row r="652" s="3" customFormat="1" ht="14"/>
    <row r="653" s="3" customFormat="1" ht="14"/>
    <row r="654" s="3" customFormat="1" ht="14"/>
    <row r="655" s="3" customFormat="1" ht="14"/>
    <row r="656" s="3" customFormat="1" ht="14"/>
    <row r="657" s="3" customFormat="1" ht="14"/>
    <row r="658" s="3" customFormat="1" ht="14"/>
    <row r="659" s="3" customFormat="1" ht="14"/>
    <row r="660" s="3" customFormat="1" ht="14"/>
    <row r="661" s="3" customFormat="1" ht="14"/>
    <row r="662" s="3" customFormat="1" ht="14"/>
    <row r="663" s="3" customFormat="1" ht="14"/>
    <row r="664" s="3" customFormat="1" ht="14"/>
    <row r="665" s="3" customFormat="1" ht="14"/>
    <row r="666" s="3" customFormat="1" ht="14"/>
    <row r="667" s="3" customFormat="1" ht="14"/>
    <row r="668" s="3" customFormat="1" ht="14"/>
    <row r="669" s="3" customFormat="1" ht="14"/>
    <row r="670" s="3" customFormat="1" ht="14"/>
    <row r="671" s="3" customFormat="1" ht="14"/>
    <row r="672" s="3" customFormat="1" ht="14"/>
    <row r="673" s="3" customFormat="1" ht="14"/>
    <row r="674" s="3" customFormat="1" ht="14"/>
    <row r="675" s="3" customFormat="1" ht="14"/>
    <row r="676" s="3" customFormat="1" ht="14"/>
    <row r="677" s="3" customFormat="1" ht="14"/>
    <row r="678" s="3" customFormat="1" ht="14"/>
    <row r="679" s="3" customFormat="1" ht="14"/>
    <row r="680" s="3" customFormat="1" ht="14"/>
    <row r="681" s="3" customFormat="1" ht="14"/>
    <row r="682" s="3" customFormat="1" ht="14"/>
    <row r="683" s="3" customFormat="1" ht="14"/>
    <row r="684" s="3" customFormat="1" ht="14"/>
    <row r="685" s="3" customFormat="1" ht="14"/>
    <row r="686" s="3" customFormat="1" ht="14"/>
    <row r="687" s="3" customFormat="1" ht="14"/>
    <row r="688" s="3" customFormat="1" ht="14"/>
    <row r="689" s="3" customFormat="1" ht="14"/>
    <row r="690" s="3" customFormat="1" ht="14"/>
    <row r="691" s="3" customFormat="1" ht="14"/>
    <row r="692" s="3" customFormat="1" ht="14"/>
    <row r="693" s="3" customFormat="1" ht="14"/>
    <row r="694" s="3" customFormat="1" ht="14"/>
    <row r="695" s="3" customFormat="1" ht="14"/>
    <row r="696" s="3" customFormat="1" ht="14"/>
    <row r="697" s="3" customFormat="1" ht="14"/>
    <row r="698" s="3" customFormat="1" ht="14"/>
    <row r="699" s="3" customFormat="1" ht="14"/>
    <row r="700" s="3" customFormat="1" ht="14"/>
    <row r="701" s="3" customFormat="1" ht="14"/>
    <row r="702" s="3" customFormat="1" ht="14"/>
    <row r="703" s="3" customFormat="1" ht="14"/>
    <row r="704" s="3" customFormat="1" ht="14"/>
    <row r="705" s="3" customFormat="1" ht="14"/>
    <row r="706" s="3" customFormat="1" ht="14"/>
    <row r="707" s="3" customFormat="1" ht="14"/>
    <row r="708" s="3" customFormat="1" ht="14"/>
    <row r="709" s="3" customFormat="1" ht="14"/>
    <row r="710" s="3" customFormat="1" ht="14"/>
    <row r="711" s="3" customFormat="1" ht="14"/>
    <row r="712" s="3" customFormat="1" ht="14"/>
    <row r="713" s="3" customFormat="1" ht="14"/>
    <row r="714" s="3" customFormat="1" ht="14"/>
    <row r="715" s="3" customFormat="1" ht="14"/>
    <row r="716" s="3" customFormat="1" ht="14"/>
    <row r="717" s="3" customFormat="1" ht="14"/>
    <row r="718" s="3" customFormat="1" ht="14"/>
    <row r="719" s="3" customFormat="1" ht="14"/>
    <row r="720" s="3" customFormat="1" ht="14"/>
    <row r="721" s="3" customFormat="1" ht="14"/>
    <row r="722" s="3" customFormat="1" ht="14"/>
    <row r="723" s="3" customFormat="1" ht="14"/>
    <row r="724" s="3" customFormat="1" ht="14"/>
    <row r="725" s="3" customFormat="1" ht="14"/>
    <row r="726" s="3" customFormat="1" ht="14"/>
    <row r="727" s="3" customFormat="1" ht="14"/>
    <row r="728" s="3" customFormat="1" ht="14"/>
    <row r="729" s="3" customFormat="1" ht="14"/>
    <row r="730" s="3" customFormat="1" ht="14"/>
    <row r="731" s="3" customFormat="1" ht="14"/>
    <row r="732" s="3" customFormat="1" ht="14"/>
    <row r="733" s="3" customFormat="1" ht="14"/>
    <row r="734" s="3" customFormat="1" ht="14"/>
    <row r="735" s="3" customFormat="1" ht="14"/>
    <row r="736" s="3" customFormat="1" ht="14"/>
    <row r="737" s="3" customFormat="1" ht="14"/>
    <row r="738" s="3" customFormat="1" ht="14"/>
    <row r="739" s="3" customFormat="1" ht="14"/>
    <row r="740" s="3" customFormat="1" ht="14"/>
    <row r="741" s="3" customFormat="1" ht="14"/>
    <row r="742" s="3" customFormat="1" ht="14"/>
    <row r="743" s="3" customFormat="1" ht="14"/>
    <row r="744" s="3" customFormat="1" ht="14"/>
    <row r="745" s="3" customFormat="1" ht="14"/>
    <row r="746" s="3" customFormat="1" ht="14"/>
    <row r="747" s="3" customFormat="1" ht="14"/>
    <row r="748" s="3" customFormat="1" ht="14"/>
    <row r="749" s="3" customFormat="1" ht="14"/>
    <row r="750" s="3" customFormat="1" ht="14"/>
    <row r="751" s="3" customFormat="1" ht="14"/>
    <row r="752" s="3" customFormat="1" ht="14"/>
    <row r="753" s="3" customFormat="1" ht="14"/>
    <row r="754" s="3" customFormat="1" ht="14"/>
    <row r="755" s="3" customFormat="1" ht="14"/>
    <row r="756" s="3" customFormat="1" ht="14"/>
    <row r="757" s="3" customFormat="1" ht="14"/>
    <row r="758" s="3" customFormat="1" ht="14"/>
    <row r="759" s="3" customFormat="1" ht="14"/>
    <row r="760" s="3" customFormat="1" ht="14"/>
    <row r="761" s="3" customFormat="1" ht="14"/>
    <row r="762" s="3" customFormat="1" ht="14"/>
    <row r="763" s="3" customFormat="1" ht="14"/>
    <row r="764" s="3" customFormat="1" ht="14"/>
    <row r="765" s="3" customFormat="1" ht="14"/>
    <row r="766" s="3" customFormat="1" ht="14"/>
    <row r="767" s="3" customFormat="1" ht="14"/>
    <row r="768" s="3" customFormat="1" ht="14"/>
    <row r="769" s="3" customFormat="1" ht="14"/>
    <row r="770" s="3" customFormat="1" ht="14"/>
    <row r="771" s="3" customFormat="1" ht="14"/>
    <row r="772" s="3" customFormat="1" ht="14"/>
    <row r="773" s="3" customFormat="1" ht="14"/>
    <row r="774" s="3" customFormat="1" ht="14"/>
    <row r="775" s="3" customFormat="1" ht="14"/>
    <row r="776" s="3" customFormat="1" ht="14"/>
    <row r="777" s="3" customFormat="1" ht="14"/>
    <row r="778" s="3" customFormat="1" ht="14"/>
    <row r="779" s="3" customFormat="1" ht="14"/>
    <row r="780" s="3" customFormat="1" ht="14"/>
    <row r="781" s="3" customFormat="1" ht="14"/>
    <row r="782" s="3" customFormat="1" ht="14"/>
    <row r="783" s="3" customFormat="1" ht="14"/>
    <row r="784" s="3" customFormat="1" ht="14"/>
    <row r="785" s="3" customFormat="1" ht="14"/>
    <row r="786" s="3" customFormat="1" ht="14"/>
    <row r="787" s="3" customFormat="1" ht="14"/>
    <row r="788" s="3" customFormat="1" ht="14"/>
    <row r="789" s="3" customFormat="1" ht="14"/>
    <row r="790" s="3" customFormat="1" ht="14"/>
    <row r="791" s="3" customFormat="1" ht="14"/>
    <row r="792" s="3" customFormat="1" ht="14"/>
    <row r="793" s="3" customFormat="1" ht="14"/>
    <row r="794" s="3" customFormat="1" ht="14"/>
    <row r="795" s="3" customFormat="1" ht="14"/>
    <row r="796" s="3" customFormat="1" ht="14"/>
    <row r="797" s="3" customFormat="1" ht="14"/>
    <row r="798" s="3" customFormat="1" ht="14"/>
    <row r="799" s="3" customFormat="1" ht="14"/>
    <row r="800" s="3" customFormat="1" ht="14"/>
    <row r="801" s="3" customFormat="1" ht="14"/>
    <row r="802" s="3" customFormat="1" ht="14"/>
    <row r="803" s="3" customFormat="1" ht="14"/>
    <row r="804" s="3" customFormat="1" ht="14"/>
    <row r="805" s="3" customFormat="1" ht="14"/>
    <row r="806" s="3" customFormat="1" ht="14"/>
    <row r="807" s="3" customFormat="1" ht="14"/>
    <row r="808" s="3" customFormat="1" ht="14"/>
    <row r="809" s="3" customFormat="1" ht="14"/>
    <row r="810" s="3" customFormat="1" ht="14"/>
    <row r="811" s="3" customFormat="1" ht="14"/>
    <row r="812" s="3" customFormat="1" ht="14"/>
    <row r="813" s="3" customFormat="1" ht="14"/>
    <row r="814" s="3" customFormat="1" ht="14"/>
    <row r="815" s="3" customFormat="1" ht="14"/>
    <row r="816" s="3" customFormat="1" ht="14"/>
    <row r="817" s="3" customFormat="1" ht="14"/>
    <row r="818" s="3" customFormat="1" ht="14"/>
    <row r="819" s="3" customFormat="1" ht="14"/>
    <row r="820" s="3" customFormat="1" ht="14"/>
    <row r="821" s="3" customFormat="1" ht="14"/>
    <row r="822" s="3" customFormat="1" ht="14"/>
    <row r="823" s="3" customFormat="1" ht="14"/>
    <row r="824" s="3" customFormat="1" ht="14"/>
    <row r="825" s="3" customFormat="1" ht="14"/>
    <row r="826" s="3" customFormat="1" ht="14"/>
    <row r="827" s="3" customFormat="1" ht="14"/>
    <row r="828" s="3" customFormat="1" ht="14"/>
    <row r="829" s="3" customFormat="1" ht="14"/>
    <row r="830" s="3" customFormat="1" ht="14"/>
    <row r="831" s="3" customFormat="1" ht="14"/>
    <row r="832" s="3" customFormat="1" ht="14"/>
    <row r="833" s="3" customFormat="1" ht="14"/>
    <row r="834" s="3" customFormat="1" ht="14"/>
    <row r="835" s="3" customFormat="1" ht="14"/>
    <row r="836" s="3" customFormat="1" ht="14"/>
    <row r="837" s="3" customFormat="1" ht="14"/>
    <row r="838" s="3" customFormat="1" ht="14"/>
    <row r="839" s="3" customFormat="1" ht="14"/>
    <row r="840" s="3" customFormat="1" ht="14"/>
    <row r="841" s="3" customFormat="1" ht="14"/>
    <row r="842" s="3" customFormat="1" ht="14"/>
    <row r="843" s="3" customFormat="1" ht="14"/>
    <row r="844" s="3" customFormat="1" ht="14"/>
    <row r="845" s="3" customFormat="1" ht="14"/>
    <row r="846" s="3" customFormat="1" ht="14"/>
    <row r="847" s="3" customFormat="1" ht="14"/>
    <row r="848" s="3" customFormat="1" ht="14"/>
    <row r="849" s="3" customFormat="1" ht="14"/>
    <row r="850" s="3" customFormat="1" ht="14"/>
    <row r="851" s="3" customFormat="1" ht="14"/>
    <row r="852" s="3" customFormat="1" ht="14"/>
    <row r="853" s="3" customFormat="1" ht="14"/>
    <row r="854" s="3" customFormat="1" ht="14"/>
    <row r="855" s="3" customFormat="1" ht="14"/>
    <row r="856" s="3" customFormat="1" ht="14"/>
    <row r="857" s="3" customFormat="1" ht="14"/>
    <row r="858" s="3" customFormat="1" ht="14"/>
    <row r="859" s="3" customFormat="1" ht="14"/>
    <row r="860" s="3" customFormat="1" ht="14"/>
    <row r="861" s="3" customFormat="1" ht="14"/>
    <row r="862" s="3" customFormat="1" ht="14"/>
    <row r="863" s="3" customFormat="1" ht="14"/>
    <row r="864" s="3" customFormat="1" ht="14"/>
    <row r="865" s="3" customFormat="1" ht="14"/>
    <row r="866" s="3" customFormat="1" ht="14"/>
    <row r="867" s="3" customFormat="1" ht="14"/>
    <row r="868" s="3" customFormat="1" ht="14"/>
    <row r="869" s="3" customFormat="1" ht="14"/>
    <row r="870" s="3" customFormat="1" ht="14"/>
    <row r="871" s="3" customFormat="1" ht="14"/>
    <row r="872" s="3" customFormat="1" ht="14"/>
    <row r="873" s="3" customFormat="1" ht="14"/>
    <row r="874" s="3" customFormat="1" ht="14"/>
    <row r="875" s="3" customFormat="1" ht="14"/>
    <row r="876" s="3" customFormat="1" ht="14"/>
    <row r="877" s="3" customFormat="1" ht="14"/>
    <row r="878" s="3" customFormat="1" ht="14"/>
    <row r="879" s="3" customFormat="1" ht="14"/>
    <row r="880" s="3" customFormat="1" ht="14"/>
    <row r="881" s="3" customFormat="1" ht="14"/>
    <row r="882" s="3" customFormat="1" ht="14"/>
    <row r="883" s="3" customFormat="1" ht="14"/>
    <row r="884" s="3" customFormat="1" ht="14"/>
    <row r="885" s="3" customFormat="1" ht="14"/>
    <row r="886" s="3" customFormat="1" ht="14"/>
    <row r="887" s="3" customFormat="1" ht="14"/>
    <row r="888" s="3" customFormat="1" ht="14"/>
    <row r="889" s="3" customFormat="1" ht="14"/>
    <row r="890" s="3" customFormat="1" ht="14"/>
    <row r="891" s="3" customFormat="1" ht="14"/>
    <row r="892" s="3" customFormat="1" ht="14"/>
    <row r="893" s="3" customFormat="1" ht="14"/>
    <row r="894" s="3" customFormat="1" ht="14"/>
    <row r="895" s="3" customFormat="1" ht="14"/>
    <row r="896" s="3" customFormat="1" ht="14"/>
    <row r="897" s="3" customFormat="1" ht="14"/>
    <row r="898" s="3" customFormat="1" ht="14"/>
    <row r="899" s="3" customFormat="1" ht="14"/>
    <row r="900" s="3" customFormat="1" ht="14"/>
    <row r="901" s="3" customFormat="1" ht="14"/>
    <row r="902" s="3" customFormat="1" ht="14"/>
    <row r="903" s="3" customFormat="1" ht="14"/>
    <row r="904" s="3" customFormat="1" ht="14"/>
    <row r="905" s="3" customFormat="1" ht="14"/>
    <row r="906" s="3" customFormat="1" ht="14"/>
    <row r="907" s="3" customFormat="1" ht="14"/>
    <row r="908" s="3" customFormat="1" ht="14"/>
    <row r="909" s="3" customFormat="1" ht="14"/>
    <row r="910" s="3" customFormat="1" ht="14"/>
    <row r="911" s="3" customFormat="1" ht="14"/>
    <row r="912" s="3" customFormat="1" ht="14"/>
    <row r="913" s="3" customFormat="1" ht="14"/>
    <row r="914" s="3" customFormat="1" ht="14"/>
    <row r="915" s="3" customFormat="1" ht="14"/>
    <row r="916" s="3" customFormat="1" ht="14"/>
    <row r="917" s="3" customFormat="1" ht="14"/>
    <row r="918" s="3" customFormat="1" ht="14"/>
    <row r="919" s="3" customFormat="1" ht="14"/>
    <row r="920" s="3" customFormat="1" ht="14"/>
    <row r="921" s="3" customFormat="1" ht="14"/>
    <row r="922" s="3" customFormat="1" ht="14"/>
    <row r="923" s="3" customFormat="1" ht="14"/>
    <row r="924" s="3" customFormat="1" ht="14"/>
    <row r="925" s="3" customFormat="1" ht="14"/>
    <row r="926" s="3" customFormat="1" ht="14"/>
    <row r="927" s="3" customFormat="1" ht="14"/>
    <row r="928" s="3" customFormat="1" ht="14"/>
    <row r="929" s="3" customFormat="1" ht="14"/>
    <row r="930" s="3" customFormat="1" ht="14"/>
    <row r="931" s="3" customFormat="1" ht="14"/>
    <row r="932" s="3" customFormat="1" ht="14"/>
    <row r="933" s="3" customFormat="1" ht="14"/>
    <row r="934" s="3" customFormat="1" ht="14"/>
    <row r="935" s="3" customFormat="1" ht="14"/>
    <row r="936" s="3" customFormat="1" ht="14"/>
    <row r="937" s="3" customFormat="1" ht="14"/>
    <row r="938" s="3" customFormat="1" ht="14"/>
    <row r="939" s="3" customFormat="1" ht="14"/>
    <row r="940" s="3" customFormat="1" ht="14"/>
    <row r="941" s="3" customFormat="1" ht="14"/>
    <row r="942" s="3" customFormat="1" ht="14"/>
    <row r="943" s="3" customFormat="1" ht="14"/>
    <row r="944" s="3" customFormat="1" ht="14"/>
    <row r="945" s="3" customFormat="1" ht="14"/>
    <row r="946" s="3" customFormat="1" ht="14"/>
    <row r="947" s="3" customFormat="1" ht="14"/>
    <row r="948" s="3" customFormat="1" ht="14"/>
    <row r="949" s="3" customFormat="1" ht="14"/>
    <row r="950" s="3" customFormat="1" ht="14"/>
    <row r="951" s="3" customFormat="1" ht="14"/>
    <row r="952" s="3" customFormat="1" ht="14"/>
    <row r="953" s="3" customFormat="1" ht="14"/>
    <row r="954" s="3" customFormat="1" ht="14"/>
    <row r="955" s="3" customFormat="1" ht="14"/>
    <row r="956" s="3" customFormat="1" ht="14"/>
    <row r="957" s="3" customFormat="1" ht="14"/>
    <row r="958" s="3" customFormat="1" ht="14"/>
    <row r="959" s="3" customFormat="1" ht="14"/>
    <row r="960" s="3" customFormat="1" ht="14"/>
    <row r="961" s="3" customFormat="1" ht="14"/>
    <row r="962" s="3" customFormat="1" ht="14"/>
    <row r="963" s="3" customFormat="1" ht="14"/>
    <row r="964" s="3" customFormat="1" ht="14"/>
    <row r="965" s="3" customFormat="1" ht="14"/>
    <row r="966" s="3" customFormat="1" ht="14"/>
    <row r="967" s="3" customFormat="1" ht="14"/>
    <row r="968" s="3" customFormat="1" ht="14"/>
    <row r="969" s="3" customFormat="1" ht="14"/>
    <row r="970" s="3" customFormat="1" ht="14"/>
    <row r="971" s="3" customFormat="1" ht="14"/>
    <row r="972" s="3" customFormat="1" ht="14"/>
    <row r="973" s="3" customFormat="1" ht="14"/>
    <row r="974" s="3" customFormat="1" ht="14"/>
    <row r="975" s="3" customFormat="1" ht="14"/>
    <row r="976" s="3" customFormat="1" ht="14"/>
    <row r="977" s="3" customFormat="1" ht="14"/>
    <row r="978" s="3" customFormat="1" ht="14"/>
    <row r="979" s="3" customFormat="1" ht="14"/>
    <row r="980" s="3" customFormat="1" ht="14"/>
    <row r="981" s="3" customFormat="1" ht="14"/>
    <row r="982" s="3" customFormat="1" ht="14"/>
    <row r="983" s="3" customFormat="1" ht="14"/>
    <row r="984" s="3" customFormat="1" ht="14"/>
    <row r="985" s="3" customFormat="1" ht="14"/>
    <row r="986" s="3" customFormat="1" ht="14"/>
    <row r="987" s="3" customFormat="1" ht="14"/>
    <row r="988" s="3" customFormat="1" ht="14"/>
    <row r="989" s="3" customFormat="1" ht="14"/>
    <row r="990" s="3" customFormat="1" ht="14"/>
    <row r="991" s="3" customFormat="1" ht="14"/>
    <row r="992" s="3" customFormat="1" ht="14"/>
    <row r="993" s="3" customFormat="1" ht="14"/>
    <row r="994" s="3" customFormat="1" ht="14"/>
    <row r="995" s="3" customFormat="1" ht="14"/>
    <row r="996" s="3" customFormat="1" ht="14"/>
    <row r="997" s="3" customFormat="1" ht="14"/>
    <row r="998" s="3" customFormat="1" ht="14"/>
    <row r="999" s="3" customFormat="1" ht="14"/>
    <row r="1000" s="3" customFormat="1" ht="14"/>
    <row r="1001" s="3" customFormat="1" ht="14"/>
    <row r="1002" s="3" customFormat="1" ht="14"/>
    <row r="1003" s="3" customFormat="1" ht="14"/>
    <row r="1004" s="3" customFormat="1" ht="14"/>
    <row r="1005" s="3" customFormat="1" ht="14"/>
    <row r="1006" s="3" customFormat="1" ht="14"/>
    <row r="1007" s="3" customFormat="1" ht="14"/>
    <row r="1008" s="3" customFormat="1" ht="14"/>
    <row r="1009" s="3" customFormat="1" ht="14"/>
    <row r="1010" s="3" customFormat="1" ht="14"/>
    <row r="1011" s="3" customFormat="1" ht="14"/>
    <row r="1012" s="3" customFormat="1" ht="14"/>
    <row r="1013" s="3" customFormat="1" ht="14"/>
    <row r="1014" s="3" customFormat="1" ht="14"/>
    <row r="1015" s="3" customFormat="1" ht="14"/>
    <row r="1016" s="3" customFormat="1" ht="14"/>
    <row r="1017" s="3" customFormat="1" ht="14"/>
    <row r="1018" s="3" customFormat="1" ht="14"/>
    <row r="1019" s="3" customFormat="1" ht="14"/>
    <row r="1020" s="3" customFormat="1" ht="14"/>
    <row r="1021" s="3" customFormat="1" ht="14"/>
    <row r="1022" s="3" customFormat="1" ht="14"/>
    <row r="1023" s="3" customFormat="1" ht="14"/>
    <row r="1024" s="3" customFormat="1" ht="14"/>
    <row r="1025" s="3" customFormat="1" ht="14"/>
    <row r="1026" s="3" customFormat="1" ht="14"/>
    <row r="1027" s="3" customFormat="1" ht="14"/>
    <row r="1028" s="3" customFormat="1" ht="14"/>
    <row r="1029" s="3" customFormat="1" ht="14"/>
    <row r="1030" s="3" customFormat="1" ht="14"/>
    <row r="1031" s="3" customFormat="1" ht="14"/>
    <row r="1032" s="3" customFormat="1" ht="14"/>
    <row r="1033" s="3" customFormat="1" ht="14"/>
    <row r="1034" s="3" customFormat="1" ht="14"/>
    <row r="1035" s="3" customFormat="1" ht="14"/>
    <row r="1036" s="3" customFormat="1" ht="14"/>
    <row r="1037" s="3" customFormat="1" ht="14"/>
    <row r="1038" s="3" customFormat="1" ht="14"/>
    <row r="1039" s="3" customFormat="1" ht="14"/>
    <row r="1040" s="3" customFormat="1" ht="14"/>
    <row r="1041" s="3" customFormat="1" ht="14"/>
    <row r="1042" s="3" customFormat="1" ht="14"/>
    <row r="1043" s="3" customFormat="1" ht="14"/>
    <row r="1044" s="3" customFormat="1" ht="14"/>
    <row r="1045" s="3" customFormat="1" ht="14"/>
    <row r="1046" s="3" customFormat="1" ht="14"/>
    <row r="1047" s="3" customFormat="1" ht="14"/>
    <row r="1048" s="3" customFormat="1" ht="14"/>
    <row r="1049" s="3" customFormat="1" ht="14"/>
    <row r="1050" s="3" customFormat="1" ht="14"/>
    <row r="1051" s="3" customFormat="1" ht="14"/>
    <row r="1052" s="3" customFormat="1" ht="14"/>
    <row r="1053" s="3" customFormat="1" ht="14"/>
    <row r="1054" s="3" customFormat="1" ht="14"/>
    <row r="1055" s="3" customFormat="1" ht="14"/>
    <row r="1056" s="3" customFormat="1" ht="14"/>
    <row r="1057" s="3" customFormat="1" ht="14"/>
    <row r="1058" s="3" customFormat="1" ht="14"/>
    <row r="1059" s="3" customFormat="1" ht="14"/>
    <row r="1060" s="3" customFormat="1" ht="14"/>
    <row r="1061" s="3" customFormat="1" ht="14"/>
    <row r="1062" s="3" customFormat="1" ht="14"/>
    <row r="1063" s="3" customFormat="1" ht="14"/>
    <row r="1064" s="3" customFormat="1" ht="14"/>
    <row r="1065" s="3" customFormat="1" ht="14"/>
    <row r="1066" s="3" customFormat="1" ht="14"/>
    <row r="1067" s="3" customFormat="1" ht="14"/>
    <row r="1068" s="3" customFormat="1" ht="14"/>
    <row r="1069" s="3" customFormat="1" ht="14"/>
    <row r="1070" s="3" customFormat="1" ht="14"/>
    <row r="1071" s="3" customFormat="1" ht="14"/>
    <row r="1072" s="3" customFormat="1" ht="14"/>
    <row r="1073" s="3" customFormat="1" ht="14"/>
    <row r="1074" s="3" customFormat="1" ht="14"/>
    <row r="1075" s="3" customFormat="1" ht="14"/>
    <row r="1076" s="3" customFormat="1" ht="14"/>
    <row r="1077" s="3" customFormat="1" ht="14"/>
    <row r="1078" s="3" customFormat="1" ht="14"/>
    <row r="1079" s="3" customFormat="1" ht="14"/>
    <row r="1080" s="3" customFormat="1" ht="14"/>
    <row r="1081" s="3" customFormat="1" ht="14"/>
    <row r="1082" s="3" customFormat="1" ht="14"/>
    <row r="1083" s="3" customFormat="1" ht="14"/>
    <row r="1084" s="3" customFormat="1" ht="14"/>
    <row r="1085" s="3" customFormat="1" ht="14"/>
  </sheetData>
  <sheetProtection selectLockedCells="1" autoFilter="0"/>
  <autoFilter ref="A1:Q1085" xr:uid="{00000000-0001-0000-0600-000000000000}"/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D1"/>
  <sheetViews>
    <sheetView workbookViewId="0">
      <selection activeCell="E30" sqref="E30"/>
    </sheetView>
  </sheetViews>
  <sheetFormatPr baseColWidth="10" defaultColWidth="8.5" defaultRowHeight="15"/>
  <cols>
    <col min="1" max="1" width="37.5" bestFit="1" customWidth="1"/>
    <col min="2" max="2" width="6.5" bestFit="1" customWidth="1"/>
  </cols>
  <sheetData>
    <row r="1" spans="1:4">
      <c r="A1" t="s">
        <v>34</v>
      </c>
      <c r="B1">
        <v>200</v>
      </c>
      <c r="C1" t="s">
        <v>35</v>
      </c>
      <c r="D1" t="b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5">
    <tabColor theme="9" tint="0.79998168889431442"/>
  </sheetPr>
  <dimension ref="A1:K90"/>
  <sheetViews>
    <sheetView showZeros="0" tabSelected="1" zoomScale="80" zoomScaleNormal="80" workbookViewId="0">
      <pane ySplit="2" topLeftCell="A3" activePane="bottomLeft" state="frozen"/>
      <selection sqref="A1:XFD1048576"/>
      <selection pane="bottomLeft" activeCell="E13" sqref="E13"/>
    </sheetView>
  </sheetViews>
  <sheetFormatPr baseColWidth="10" defaultColWidth="10.5" defaultRowHeight="14"/>
  <cols>
    <col min="1" max="1" width="19.5" style="20" bestFit="1" customWidth="1"/>
    <col min="2" max="2" width="22.5" style="2" customWidth="1"/>
    <col min="3" max="3" width="22.5" style="18" customWidth="1"/>
    <col min="4" max="4" width="21.83203125" style="2" customWidth="1"/>
    <col min="5" max="5" width="104.33203125" style="2" bestFit="1" customWidth="1"/>
    <col min="6" max="6" width="8.83203125" style="2" bestFit="1" customWidth="1"/>
    <col min="7" max="7" width="26.5" style="2" bestFit="1" customWidth="1"/>
    <col min="8" max="8" width="24" style="2" customWidth="1"/>
    <col min="9" max="9" width="11.5" style="19" bestFit="1" customWidth="1"/>
    <col min="10" max="10" width="21.5" style="19" bestFit="1" customWidth="1"/>
    <col min="11" max="11" width="15.6640625" style="21" bestFit="1" customWidth="1"/>
    <col min="12" max="16384" width="10.5" style="3"/>
  </cols>
  <sheetData>
    <row r="1" spans="1:11" ht="45.75" customHeight="1">
      <c r="A1" s="11" t="s">
        <v>3</v>
      </c>
      <c r="B1" s="12" t="s">
        <v>33</v>
      </c>
      <c r="C1" s="13"/>
      <c r="E1" s="11"/>
      <c r="F1" s="11"/>
      <c r="H1" s="11"/>
      <c r="I1" s="11"/>
      <c r="J1" s="2"/>
      <c r="K1" s="2"/>
    </row>
    <row r="2" spans="1:11" ht="15">
      <c r="A2" s="14" t="s">
        <v>24</v>
      </c>
      <c r="B2" s="14" t="s">
        <v>25</v>
      </c>
      <c r="C2" s="15" t="s">
        <v>0</v>
      </c>
      <c r="D2" s="14" t="s">
        <v>26</v>
      </c>
      <c r="E2" s="14" t="s">
        <v>27</v>
      </c>
      <c r="F2" s="14" t="s">
        <v>2</v>
      </c>
      <c r="G2" s="14" t="s">
        <v>28</v>
      </c>
      <c r="H2" s="16" t="s">
        <v>29</v>
      </c>
      <c r="I2" s="16" t="s">
        <v>30</v>
      </c>
      <c r="J2" s="16" t="s">
        <v>31</v>
      </c>
      <c r="K2" s="17" t="s">
        <v>32</v>
      </c>
    </row>
    <row r="3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="3" customFormat="1"/>
    <row r="18" s="3" customFormat="1"/>
    <row r="19" s="3" customFormat="1"/>
    <row r="20" s="3" customFormat="1"/>
    <row r="21" s="3" customFormat="1"/>
    <row r="22" s="3" customFormat="1"/>
    <row r="23" s="3" customFormat="1"/>
    <row r="24" s="3" customFormat="1"/>
    <row r="25" s="3" customFormat="1"/>
    <row r="26" s="3" customFormat="1"/>
    <row r="27" s="3" customFormat="1"/>
    <row r="28" s="3" customFormat="1"/>
    <row r="29" s="3" customFormat="1" ht="15" customHeight="1"/>
    <row r="30" s="3" customFormat="1"/>
    <row r="31" s="3" customFormat="1" ht="15" customHeight="1"/>
    <row r="32" s="3" customFormat="1"/>
    <row r="33" s="3" customFormat="1"/>
    <row r="34" s="3" customFormat="1"/>
    <row r="35" s="3" customFormat="1"/>
    <row r="36" s="3" customFormat="1"/>
    <row r="37" s="3" customFormat="1"/>
    <row r="38" s="3" customFormat="1"/>
    <row r="39" s="3" customFormat="1"/>
    <row r="40" s="3" customFormat="1"/>
    <row r="41" s="3" customFormat="1"/>
    <row r="42" s="3" customFormat="1"/>
    <row r="43" s="3" customFormat="1"/>
    <row r="44" s="3" customFormat="1"/>
    <row r="45" s="3" customFormat="1"/>
    <row r="46" s="3" customFormat="1"/>
    <row r="47" s="3" customFormat="1"/>
    <row r="48" s="3" customFormat="1"/>
    <row r="49" s="3" customFormat="1"/>
    <row r="50" s="3" customFormat="1"/>
    <row r="51" s="3" customFormat="1"/>
    <row r="52" s="3" customFormat="1"/>
    <row r="53" s="3" customFormat="1"/>
    <row r="54" s="3" customFormat="1"/>
    <row r="55" s="3" customFormat="1"/>
    <row r="56" s="3" customFormat="1"/>
    <row r="57" s="3" customFormat="1"/>
    <row r="58" s="3" customFormat="1"/>
    <row r="59" s="3" customFormat="1"/>
    <row r="60" s="3" customFormat="1"/>
    <row r="61" s="3" customFormat="1"/>
    <row r="62" s="3" customFormat="1"/>
    <row r="63" s="3" customFormat="1"/>
    <row r="64" s="3" customFormat="1"/>
    <row r="65" s="3" customFormat="1"/>
    <row r="66" s="3" customFormat="1"/>
    <row r="67" s="3" customFormat="1"/>
    <row r="68" s="3" customFormat="1"/>
    <row r="69" s="3" customFormat="1"/>
    <row r="70" s="3" customFormat="1"/>
    <row r="71" s="3" customFormat="1"/>
    <row r="72" s="3" customFormat="1"/>
    <row r="73" s="3" customFormat="1"/>
    <row r="74" s="3" customFormat="1"/>
    <row r="75" s="3" customFormat="1"/>
    <row r="76" s="3" customFormat="1"/>
    <row r="77" s="3" customFormat="1"/>
    <row r="78" s="3" customFormat="1"/>
    <row r="79" s="3" customFormat="1"/>
    <row r="80" s="3" customFormat="1"/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2"/>
      <c r="H87" s="19"/>
      <c r="J87" s="2"/>
      <c r="K87" s="2"/>
    </row>
    <row r="88" spans="1:11">
      <c r="K88" s="2"/>
    </row>
    <row r="89" spans="1:11">
      <c r="K89" s="2"/>
    </row>
    <row r="90" spans="1:11">
      <c r="K90" s="2"/>
    </row>
  </sheetData>
  <autoFilter ref="A2:K58" xr:uid="{00000000-0001-0000-0F00-000000000000}"/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epartmentDocument" ma:contentTypeID="0x010100B9B6F3AE89F2B04FB6221C18153909ED009DAD22EE8CA7E346A7CE75CADDF2B387" ma:contentTypeVersion="29" ma:contentTypeDescription="Create a new document." ma:contentTypeScope="" ma:versionID="32effb383a3d876868fea815ee908700">
  <xsd:schema xmlns:xsd="http://www.w3.org/2001/XMLSchema" xmlns:xs="http://www.w3.org/2001/XMLSchema" xmlns:p="http://schemas.microsoft.com/office/2006/metadata/properties" xmlns:ns2="856cb83a-d9ec-4226-b01d-5dc226576b66" xmlns:ns3="8a1b0680-4803-41d8-bc2a-b47c41fcc72c" xmlns:ns4="05033786-c5d8-4281-b08b-6d3f8ca9f666" xmlns:ns5="007b7b5b-ae5a-438b-a468-113b29a04196" targetNamespace="http://schemas.microsoft.com/office/2006/metadata/properties" ma:root="true" ma:fieldsID="f625726ff1aae08c734f1d2507b23c8e" ns2:_="" ns3:_="" ns4:_="" ns5:_="">
    <xsd:import namespace="856cb83a-d9ec-4226-b01d-5dc226576b66"/>
    <xsd:import namespace="8a1b0680-4803-41d8-bc2a-b47c41fcc72c"/>
    <xsd:import namespace="05033786-c5d8-4281-b08b-6d3f8ca9f666"/>
    <xsd:import namespace="007b7b5b-ae5a-438b-a468-113b29a04196"/>
    <xsd:element name="properties">
      <xsd:complexType>
        <xsd:sequence>
          <xsd:element name="documentManagement">
            <xsd:complexType>
              <xsd:all>
                <xsd:element ref="ns2:InterneReferentie" minOccurs="0"/>
                <xsd:element ref="ns2:DenysDocumentDatum" minOccurs="0"/>
                <xsd:element ref="ns2:Revisie" minOccurs="0"/>
                <xsd:element ref="ns2:AlgemeneOpmerkingen" minOccurs="0"/>
                <xsd:element ref="ns2:DenysAfdeling" minOccurs="0"/>
                <xsd:element ref="ns4:bd2c66b6fd8342c0b6b09a4228b32625" minOccurs="0"/>
                <xsd:element ref="ns4:m0b0bf2ac7144634a1cd0f7f36de3a29" minOccurs="0"/>
                <xsd:element ref="ns3:TaxCatchAll" minOccurs="0"/>
                <xsd:element ref="ns3:TaxCatchAllLabel" minOccurs="0"/>
                <xsd:element ref="ns4:fe4d1437c70e467c94dfd896d11651af" minOccurs="0"/>
                <xsd:element ref="ns4:b900e747873d4571afdaa477105247cb" minOccurs="0"/>
                <xsd:element ref="ns3:TaxKeywordTaxHTField" minOccurs="0"/>
                <xsd:element ref="ns3:SharedWithUsers" minOccurs="0"/>
                <xsd:element ref="ns3:SharedWithDetails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5:MediaServiceLocation" minOccurs="0"/>
                <xsd:element ref="ns5:MediaServiceAutoKeyPoints" minOccurs="0"/>
                <xsd:element ref="ns5:MediaServiceKeyPoints" minOccurs="0"/>
                <xsd:element ref="ns5:MediaLengthInSeconds" minOccurs="0"/>
                <xsd:element ref="ns5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cb83a-d9ec-4226-b01d-5dc226576b66" elementFormDefault="qualified">
    <xsd:import namespace="http://schemas.microsoft.com/office/2006/documentManagement/types"/>
    <xsd:import namespace="http://schemas.microsoft.com/office/infopath/2007/PartnerControls"/>
    <xsd:element name="InterneReferentie" ma:index="6" nillable="true" ma:displayName="Internal Reference" ma:internalName="InterneReferentie">
      <xsd:simpleType>
        <xsd:restriction base="dms:Text">
          <xsd:maxLength value="255"/>
        </xsd:restriction>
      </xsd:simpleType>
    </xsd:element>
    <xsd:element name="DenysDocumentDatum" ma:index="7" nillable="true" ma:displayName="Document Date" ma:description="" ma:format="DateOnly" ma:internalName="DenysDocumentDatum">
      <xsd:simpleType>
        <xsd:restriction base="dms:DateTime"/>
      </xsd:simpleType>
    </xsd:element>
    <xsd:element name="Revisie" ma:index="8" nillable="true" ma:displayName="Revision" ma:description="" ma:internalName="Revisie">
      <xsd:simpleType>
        <xsd:restriction base="dms:Text">
          <xsd:maxLength value="255"/>
        </xsd:restriction>
      </xsd:simpleType>
    </xsd:element>
    <xsd:element name="AlgemeneOpmerkingen" ma:index="9" nillable="true" ma:displayName="General Remarks" ma:description="" ma:internalName="AlgemeneOpmerkingen">
      <xsd:simpleType>
        <xsd:restriction base="dms:Note">
          <xsd:maxLength value="255"/>
        </xsd:restriction>
      </xsd:simpleType>
    </xsd:element>
    <xsd:element name="DenysAfdeling" ma:index="10" nillable="true" ma:displayName="Denys Department" ma:default="Denys France" ma:description="" ma:format="Dropdown" ma:internalName="DenysAfdeling">
      <xsd:simpleType>
        <xsd:restriction base="dms:Choice">
          <xsd:enumeration value="Pipeline works"/>
          <xsd:enumeration value="Building works"/>
          <xsd:enumeration value="Civil works"/>
          <xsd:enumeration value="Restoration works"/>
          <xsd:enumeration value="Special Technics"/>
          <xsd:enumeration value="Tunnelling works"/>
          <xsd:enumeration value="Water works"/>
          <xsd:enumeration value="Africa"/>
          <xsd:enumeration value="Sub Sahara &amp; Africa"/>
          <xsd:enumeration value="Europe &amp; Northern Africa"/>
          <xsd:enumeration value="Europe"/>
          <xsd:enumeration value="Middle East"/>
          <xsd:enumeration value="Building"/>
          <xsd:enumeration value="The Netherlands"/>
          <xsd:enumeration value="Support"/>
          <xsd:enumeration value="QSHE"/>
          <xsd:enumeration value="HR"/>
          <xsd:enumeration value="Engineering"/>
          <xsd:enumeration value="Technical Department"/>
          <xsd:enumeration value="Finance &amp;  Administration"/>
          <xsd:enumeration value="Finance"/>
          <xsd:enumeration value="ICT"/>
          <xsd:enumeration value="Insurance"/>
          <xsd:enumeration value="Legal"/>
          <xsd:enumeration value="General Management"/>
          <xsd:enumeration value="Procurement"/>
          <xsd:enumeration value="Technical Department"/>
          <xsd:enumeration value="SOCEA"/>
          <xsd:enumeration value="Denys Franc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b0680-4803-41d8-bc2a-b47c41fcc72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3290e4b-cb88-4f99-a10c-30c9f958dc64}" ma:internalName="TaxCatchAll" ma:showField="CatchAllData" ma:web="8a1b0680-4803-41d8-bc2a-b47c41fc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b3290e4b-cb88-4f99-a10c-30c9f958dc64}" ma:internalName="TaxCatchAllLabel" ma:readOnly="true" ma:showField="CatchAllDataLabel" ma:web="8a1b0680-4803-41d8-bc2a-b47c41fc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3" nillable="true" ma:taxonomy="true" ma:internalName="TaxKeywordTaxHTField" ma:taxonomyFieldName="TaxKeyword" ma:displayName="Enterprise Keywords" ma:fieldId="{23f27201-bee3-471e-b2e7-b64fd8b7ca38}" ma:taxonomyMulti="true" ma:sspId="5a0cde98-a69d-42bd-a14a-7d72ddc2b80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33786-c5d8-4281-b08b-6d3f8ca9f666" elementFormDefault="qualified">
    <xsd:import namespace="http://schemas.microsoft.com/office/2006/documentManagement/types"/>
    <xsd:import namespace="http://schemas.microsoft.com/office/infopath/2007/PartnerControls"/>
    <xsd:element name="bd2c66b6fd8342c0b6b09a4228b32625" ma:index="14" nillable="true" ma:taxonomy="true" ma:internalName="bd2c66b6fd8342c0b6b09a4228b32625" ma:taxonomyFieldName="ContactExtern" ma:displayName="Company" ma:default="" ma:fieldId="{bd2c66b6-fd83-42c0-b6b0-9a4228b32625}" ma:sspId="5a0cde98-a69d-42bd-a14a-7d72ddc2b80c" ma:termSetId="0a5e3a3a-884f-4feb-bd2a-49735f3fb6e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b0bf2ac7144634a1cd0f7f36de3a29" ma:index="16" nillable="true" ma:taxonomy="true" ma:internalName="m0b0bf2ac7144634a1cd0f7f36de3a29" ma:taxonomyFieldName="DocumentStatus" ma:displayName="Document Status" ma:default="" ma:fieldId="{60b0bf2a-c714-4634-a1cd-0f7f36de3a29}" ma:sspId="5a0cde98-a69d-42bd-a14a-7d72ddc2b80c" ma:termSetId="df3eccac-fda0-4a1d-904c-8764dd689a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4d1437c70e467c94dfd896d11651af" ma:index="21" nillable="true" ma:taxonomy="true" ma:internalName="fe4d1437c70e467c94dfd896d11651af" ma:taxonomyFieldName="Contract" ma:displayName="Contract" ma:default="" ma:fieldId="{fe4d1437-c70e-467c-94df-d896d11651af}" ma:taxonomyMulti="true" ma:sspId="5a0cde98-a69d-42bd-a14a-7d72ddc2b80c" ma:termSetId="0aa86b9d-e528-4bd7-8e0d-ad1af81622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900e747873d4571afdaa477105247cb" ma:index="22" nillable="true" ma:taxonomy="true" ma:internalName="b900e747873d4571afdaa477105247cb" ma:taxonomyFieldName="DocCode" ma:displayName="Document Codes" ma:default="" ma:fieldId="{b900e747-873d-4571-afda-a477105247cb}" ma:taxonomyMulti="true" ma:sspId="5a0cde98-a69d-42bd-a14a-7d72ddc2b80c" ma:termSetId="f560c519-d2cf-4872-92ad-914a5182114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b7b5b-ae5a-438b-a468-113b29a04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9" nillable="true" ma:displayName="Tags" ma:internalName="MediaServiceAutoTags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4" nillable="true" ma:displayName="Location" ma:internalName="MediaServiceLocation" ma:readOnly="true">
      <xsd:simpleType>
        <xsd:restriction base="dms:Text"/>
      </xsd:simpleType>
    </xsd:element>
    <xsd:element name="MediaServiceAutoKeyPoints" ma:index="3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9" nillable="true" ma:taxonomy="true" ma:internalName="lcf76f155ced4ddcb4097134ff3c332f" ma:taxonomyFieldName="MediaServiceImageTags" ma:displayName="Image Tags" ma:readOnly="false" ma:fieldId="{5cf76f15-5ced-4ddc-b409-7134ff3c332f}" ma:taxonomyMulti="true" ma:sspId="5a0cde98-a69d-42bd-a14a-7d72ddc2b8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lgemeneOpmerkingen xmlns="856cb83a-d9ec-4226-b01d-5dc226576b66" xsi:nil="true"/>
    <DenysAfdeling xmlns="856cb83a-d9ec-4226-b01d-5dc226576b66">Pipeline works</DenysAfdeling>
    <InterneReferentie xmlns="856cb83a-d9ec-4226-b01d-5dc226576b66" xsi:nil="true"/>
    <Revisie xmlns="856cb83a-d9ec-4226-b01d-5dc226576b66" xsi:nil="true"/>
    <DenysDocumentDatum xmlns="856cb83a-d9ec-4226-b01d-5dc226576b66" xsi:nil="true"/>
    <m0b0bf2ac7144634a1cd0f7f36de3a29 xmlns="05033786-c5d8-4281-b08b-6d3f8ca9f666">
      <Terms xmlns="http://schemas.microsoft.com/office/infopath/2007/PartnerControls"/>
    </m0b0bf2ac7144634a1cd0f7f36de3a29>
    <b900e747873d4571afdaa477105247cb xmlns="05033786-c5d8-4281-b08b-6d3f8ca9f666">
      <Terms xmlns="http://schemas.microsoft.com/office/infopath/2007/PartnerControls"/>
    </b900e747873d4571afdaa477105247cb>
    <TaxCatchAll xmlns="8a1b0680-4803-41d8-bc2a-b47c41fcc72c" xsi:nil="true"/>
    <fe4d1437c70e467c94dfd896d11651af xmlns="05033786-c5d8-4281-b08b-6d3f8ca9f666">
      <Terms xmlns="http://schemas.microsoft.com/office/infopath/2007/PartnerControls"/>
    </fe4d1437c70e467c94dfd896d11651af>
    <TaxKeywordTaxHTField xmlns="8a1b0680-4803-41d8-bc2a-b47c41fcc72c">
      <Terms xmlns="http://schemas.microsoft.com/office/infopath/2007/PartnerControls"/>
    </TaxKeywordTaxHTField>
    <bd2c66b6fd8342c0b6b09a4228b32625 xmlns="05033786-c5d8-4281-b08b-6d3f8ca9f666">
      <Terms xmlns="http://schemas.microsoft.com/office/infopath/2007/PartnerControls"/>
    </bd2c66b6fd8342c0b6b09a4228b32625>
    <lcf76f155ced4ddcb4097134ff3c332f xmlns="007b7b5b-ae5a-438b-a468-113b29a041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purl.oclc.org/ooxml/officeDocument/customXml" ds:itemID="{C092BD55-18E4-4650-A2BA-A44742BD8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cb83a-d9ec-4226-b01d-5dc226576b66"/>
    <ds:schemaRef ds:uri="8a1b0680-4803-41d8-bc2a-b47c41fcc72c"/>
    <ds:schemaRef ds:uri="05033786-c5d8-4281-b08b-6d3f8ca9f666"/>
    <ds:schemaRef ds:uri="007b7b5b-ae5a-438b-a468-113b29a04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C55FA2F8-31C2-4665-BE67-ACC9E0E3195E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74B3B147-BEDF-47D5-A900-B5FE3AAF34D3}">
  <ds:schemaRefs>
    <ds:schemaRef ds:uri="http://schemas.microsoft.com/office/2006/documentManagement/types"/>
    <ds:schemaRef ds:uri="http://schemas.microsoft.com/office/2006/metadata/properties"/>
    <ds:schemaRef ds:uri="05033786-c5d8-4281-b08b-6d3f8ca9f666"/>
    <ds:schemaRef ds:uri="http://schemas.microsoft.com/office/infopath/2007/PartnerControls"/>
    <ds:schemaRef ds:uri="http://www.w3.org/XML/1998/namespace"/>
    <ds:schemaRef ds:uri="http://purl.org/dc/terms/"/>
    <ds:schemaRef ds:uri="856cb83a-d9ec-4226-b01d-5dc226576b66"/>
    <ds:schemaRef ds:uri="8a1b0680-4803-41d8-bc2a-b47c41fcc72c"/>
    <ds:schemaRef ds:uri="http://purl.org/dc/elements/1.1/"/>
    <ds:schemaRef ds:uri="http://schemas.openxmlformats.org/package/2006/metadata/core-properties"/>
    <ds:schemaRef ds:uri="007b7b5b-ae5a-438b-a468-113b29a04196"/>
    <ds:schemaRef ds:uri="http://purl.org/dc/dcmitype/"/>
  </ds:schemaRefs>
</ds:datastoreItem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Dépôt</vt:lpstr>
      <vt:lpstr>Coûts totaux</vt:lpstr>
      <vt:lpstr>macros</vt:lpstr>
      <vt:lpstr>AN-VR</vt:lpstr>
    </vt:vector>
  </TitlesOfParts>
  <Manager/>
  <Company>DENYS nv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van der Horden;OTHON Olivier</dc:creator>
  <cp:keywords/>
  <dc:description/>
  <cp:lastModifiedBy>Judicaëlle Moussier</cp:lastModifiedBy>
  <cp:revision/>
  <cp:lastPrinted>2024-10-15T18:24:08Z</cp:lastPrinted>
  <dcterms:created xsi:type="dcterms:W3CDTF">2013-10-18T05:22:59Z</dcterms:created>
  <dcterms:modified xsi:type="dcterms:W3CDTF">2026-02-27T10:06:26Z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0x010100B9B6F3AE89F2B04FB6221C18153909ED009DAD22EE8CA7E346A7CE75CADDF2B387</vt:lpwstr>
  </property>
  <property fmtid="{D5CDD505-2E9C-101B-9397-08002B2CF9AE}" pid="3" name="ISOClassificering">
    <vt:lpwstr>118;#08.02 Omzetplanning|78704579-dcf4-4135-8d65-f97e855e13ae</vt:lpwstr>
  </property>
  <property fmtid="{D5CDD505-2E9C-101B-9397-08002B2CF9AE}" pid="4" name="DocumentStatus">
    <vt:lpwstr/>
  </property>
  <property fmtid="{D5CDD505-2E9C-101B-9397-08002B2CF9AE}" pid="5" name="DocCode">
    <vt:lpwstr/>
  </property>
  <property fmtid="{D5CDD505-2E9C-101B-9397-08002B2CF9AE}" pid="6" name="DocumentGroep">
    <vt:lpwstr/>
  </property>
  <property fmtid="{D5CDD505-2E9C-101B-9397-08002B2CF9AE}" pid="7" name="TaxKeyword">
    <vt:lpwstr/>
  </property>
  <property fmtid="{D5CDD505-2E9C-101B-9397-08002B2CF9AE}" pid="8" name="MediaServiceImageTags">
    <vt:lpwstr/>
  </property>
  <property fmtid="{D5CDD505-2E9C-101B-9397-08002B2CF9AE}" pid="9" name="ContactExtern">
    <vt:lpwstr/>
  </property>
  <property fmtid="{D5CDD505-2E9C-101B-9397-08002B2CF9AE}" pid="10" name="Contract">
    <vt:lpwstr/>
  </property>
</Properties>
</file>